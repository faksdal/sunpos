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s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<sst xmlns="http://schemas.openxmlformats.org/spreadsheetml/2006/main" count="37" uniqueCount="36">
  <si>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NOAA Solar Calculations - Change any of the highlighted cells to get solar position data for that location and date.</t>
  </si>
  <si>
    <t xml:space="preserve">Date</t>
  </si>
  <si>
    <t xml:space="preserve">Time (past local midnight)</t>
  </si>
  <si>
    <t xml:space="preserve">Julian Day</t>
  </si>
  <si>
    <t xml:space="preserve">Julian Century</t>
  </si>
  <si>
    <t xml:space="preserve">Geom Mean Long Sun (deg)</t>
  </si>
  <si>
    <t xml:space="preserve">Geom Mean Anom Sun (deg)</t>
  </si>
  <si>
    <t xml:space="preserve">Eccent Earth Orbit</t>
  </si>
  <si>
    <t xml:space="preserve">Sun Eq of Ctr</t>
  </si>
  <si>
    <t xml:space="preserve">Sun True Long (deg)</t>
  </si>
  <si>
    <t xml:space="preserve">Sun True Anom (deg)</t>
  </si>
  <si>
    <t xml:space="preserve">Sun Rad Vector (AUs)</t>
  </si>
  <si>
    <t xml:space="preserve">Sun App Long (deg)</t>
  </si>
  <si>
    <t xml:space="preserve">Mean Obliq Ecliptic (deg)</t>
  </si>
  <si>
    <t xml:space="preserve">Obliq Corr (deg)</t>
  </si>
  <si>
    <t xml:space="preserve">Sun Rt Ascen (deg)</t>
  </si>
  <si>
    <t xml:space="preserve">Sun Declin (deg)</t>
  </si>
  <si>
    <t xml:space="preserve">var y</t>
  </si>
  <si>
    <t xml:space="preserve">Eq of Time (minutes)</t>
  </si>
  <si>
    <t xml:space="preserve">HA Sunrise (deg)</t>
  </si>
  <si>
    <t xml:space="preserve">Solar Noon (LST)</t>
  </si>
  <si>
    <t xml:space="preserve">Sunrise Time (LST)</t>
  </si>
  <si>
    <t xml:space="preserve">Sunset Time (LST)</t>
  </si>
  <si>
    <t xml:space="preserve">Sunlight Duration (minutes)</t>
  </si>
  <si>
    <t xml:space="preserve">True Solar Time (min)</t>
  </si>
  <si>
    <t xml:space="preserve">Hour Angle (deg)</t>
  </si>
  <si>
    <t xml:space="preserve">Solar Zenith Angle (deg)</t>
  </si>
  <si>
    <t xml:space="preserve">Solar Elevation Angle (deg)</t>
  </si>
  <si>
    <t xml:space="preserve">Approx Atmospheric Refraction (deg)</t>
  </si>
  <si>
    <t xml:space="preserve">Solar Elevation corrected for atm refraction (deg)</t>
  </si>
  <si>
    <t xml:space="preserve">Solar Azimuth Angle (deg cw from N)</t>
  </si>
  <si>
    <t xml:space="preserve">Latitude (+ to N)</t>
  </si>
  <si>
    <t xml:space="preserve">Longitude (+ to E)</t>
  </si>
  <si>
    <t xml:space="preserve">Time Zone (+ to E)</t>
  </si>
  <si>
    <t xml:space="preserve">Julian Day Number (jdn)</t>
  </si>
  <si>
    <t xml:space="preserve">         Julian Century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</si>
</sst>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"/>
    <numFmt numFmtId="166" formatCode="dd/mm/yyyy"/>
    <numFmt numFmtId="167" formatCode="h:mm:ss;@"/>
    <numFmt numFmtId="168" formatCode="0.00000000"/>
    <numFmt numFmtId="169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Solar Azimuth vs. Elevation Angle</a:t>
            </a:r>
          </a:p>
        </c:rich>
      </c:tx>
      <c:layout>
        <c:manualLayout>
          <c:xMode val="edge"/>
          <c:yMode val="edge"/>
          <c:x val="0.225907711624987"/>
          <c:y val="0.092296511627907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946531338286"/>
          <c:y val="0.553779069767442"/>
          <c:w val="0.800565030867427"/>
          <c:h val="0.246075581395349"/>
        </c:manualLayout>
      </c:layout>
      <c:scatterChart>
        <c:scatterStyle val="line"/>
        <c:varyColors val="0"/>
        <c:ser>
          <c:idx val="0"/>
          <c:order val="0"/>
          <c:tx>
            <c:strRef>
              <c:f>Calculations!$AH$1</c:f>
              <c:strCache>
                <c:ptCount val="1"/>
                <c:pt idx="0">
                  <c:v>Solar Azimuth Angle (deg cw from N)</c:v>
                </c:pt>
              </c:strCache>
            </c:strRef>
          </c:tx>
          <c:spPr>
            <a:solidFill>
              <a:srgbClr val="666699"/>
            </a:solidFill>
            <a:ln w="2556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Calculations!$AG$2:$AG$241</c:f>
              <c:numCache>
                <c:formatCode>General</c:formatCode>
                <c:ptCount val="240"/>
                <c:pt idx="0">
                  <c:v>-45.3639738191272</c:v>
                </c:pt>
                <c:pt idx="1">
                  <c:v>-45.3298869429462</c:v>
                </c:pt>
                <c:pt idx="2">
                  <c:v>-45.2732266348419</c:v>
                </c:pt>
                <c:pt idx="3">
                  <c:v>-45.1941001253924</c:v>
                </c:pt>
                <c:pt idx="4">
                  <c:v>-45.0926559223669</c:v>
                </c:pt>
                <c:pt idx="5">
                  <c:v>-44.9690827264913</c:v>
                </c:pt>
                <c:pt idx="6">
                  <c:v>-44.8236080753451</c:v>
                </c:pt>
                <c:pt idx="7">
                  <c:v>-44.6564967359704</c:v>
                </c:pt>
                <c:pt idx="8">
                  <c:v>-44.4680488772049</c:v>
                </c:pt>
                <c:pt idx="9">
                  <c:v>-44.2585980488572</c:v>
                </c:pt>
                <c:pt idx="10">
                  <c:v>-44.0285090035975</c:v>
                </c:pt>
                <c:pt idx="11">
                  <c:v>-43.778175391738</c:v>
                </c:pt>
                <c:pt idx="12">
                  <c:v>-43.5080173660989</c:v>
                </c:pt>
                <c:pt idx="13">
                  <c:v>-43.2184791267803</c:v>
                </c:pt>
                <c:pt idx="14">
                  <c:v>-42.9100264411658</c:v>
                </c:pt>
                <c:pt idx="15">
                  <c:v>-42.5831441658532</c:v>
                </c:pt>
                <c:pt idx="16">
                  <c:v>-42.2383338007499</c:v>
                </c:pt>
                <c:pt idx="17">
                  <c:v>-41.8761110990451</c:v>
                </c:pt>
                <c:pt idx="18">
                  <c:v>-41.4970037536851</c:v>
                </c:pt>
                <c:pt idx="19">
                  <c:v>-41.1015491815261</c:v>
                </c:pt>
                <c:pt idx="20">
                  <c:v>-40.690292417085</c:v>
                </c:pt>
                <c:pt idx="21">
                  <c:v>-40.2637841313623</c:v>
                </c:pt>
                <c:pt idx="22">
                  <c:v>-39.8225787812956</c:v>
                </c:pt>
                <c:pt idx="23">
                  <c:v>-39.3672328993664</c:v>
                </c:pt>
                <c:pt idx="24">
                  <c:v>-38.8983035234249</c:v>
                </c:pt>
                <c:pt idx="25">
                  <c:v>-38.4163467712578</c:v>
                </c:pt>
                <c:pt idx="26">
                  <c:v>-37.921916555536</c:v>
                </c:pt>
                <c:pt idx="27">
                  <c:v>-37.4155634398102</c:v>
                </c:pt>
                <c:pt idx="28">
                  <c:v>-36.8978336279412</c:v>
                </c:pt>
                <c:pt idx="29">
                  <c:v>-36.3692680849444</c:v>
                </c:pt>
                <c:pt idx="30">
                  <c:v>-35.8304017795976</c:v>
                </c:pt>
                <c:pt idx="31">
                  <c:v>-35.2817630444119</c:v>
                </c:pt>
                <c:pt idx="32">
                  <c:v>-34.7238730443487</c:v>
                </c:pt>
                <c:pt idx="33">
                  <c:v>-34.1572453454131</c:v>
                </c:pt>
                <c:pt idx="34">
                  <c:v>-33.5823855777859</c:v>
                </c:pt>
                <c:pt idx="35">
                  <c:v>-32.9997911822791</c:v>
                </c:pt>
                <c:pt idx="36">
                  <c:v>-32.4099512356531</c:v>
                </c:pt>
                <c:pt idx="37">
                  <c:v>-31.8133463438172</c:v>
                </c:pt>
                <c:pt idx="38">
                  <c:v>-31.2104485989521</c:v>
                </c:pt>
                <c:pt idx="39">
                  <c:v>-30.6017215902048</c:v>
                </c:pt>
                <c:pt idx="40">
                  <c:v>-29.9876204647033</c:v>
                </c:pt>
                <c:pt idx="41">
                  <c:v>-29.3685920293246</c:v>
                </c:pt>
                <c:pt idx="42">
                  <c:v>-28.7450748907711</c:v>
                </c:pt>
                <c:pt idx="43">
                  <c:v>-28.1174996252156</c:v>
                </c:pt>
                <c:pt idx="44">
                  <c:v>-27.4862889758768</c:v>
                </c:pt>
                <c:pt idx="45">
                  <c:v>-26.8518580706959</c:v>
                </c:pt>
                <c:pt idx="46">
                  <c:v>-26.2146146585131</c:v>
                </c:pt>
                <c:pt idx="47">
                  <c:v>-25.5749593588257</c:v>
                </c:pt>
                <c:pt idx="48">
                  <c:v>-24.9332859205467</c:v>
                </c:pt>
                <c:pt idx="49">
                  <c:v>-24.2899814891311</c:v>
                </c:pt>
                <c:pt idx="50">
                  <c:v>-23.6454268758484</c:v>
                </c:pt>
                <c:pt idx="51">
                  <c:v>-22.9999968298012</c:v>
                </c:pt>
                <c:pt idx="52">
                  <c:v>-22.3540603068046</c:v>
                </c:pt>
                <c:pt idx="53">
                  <c:v>-21.707980736072</c:v>
                </c:pt>
                <c:pt idx="54">
                  <c:v>-21.0621162791178</c:v>
                </c:pt>
                <c:pt idx="55">
                  <c:v>-20.4168200820281</c:v>
                </c:pt>
                <c:pt idx="56">
                  <c:v>-19.7724405156193</c:v>
                </c:pt>
                <c:pt idx="57">
                  <c:v>-19.1293214046487</c:v>
                </c:pt>
                <c:pt idx="58">
                  <c:v>-18.4878022404963</c:v>
                </c:pt>
                <c:pt idx="59">
                  <c:v>-17.8482183782469</c:v>
                </c:pt>
                <c:pt idx="60">
                  <c:v>-17.2109012122863</c:v>
                </c:pt>
                <c:pt idx="61">
                  <c:v>-16.5761783299943</c:v>
                </c:pt>
                <c:pt idx="62">
                  <c:v>-15.9443736389744</c:v>
                </c:pt>
                <c:pt idx="63">
                  <c:v>-15.3158074625274</c:v>
                </c:pt>
                <c:pt idx="64">
                  <c:v>-14.6907966007973</c:v>
                </c:pt>
                <c:pt idx="65">
                  <c:v>-14.069654347831</c:v>
                </c:pt>
                <c:pt idx="66">
                  <c:v>-13.4526904596088</c:v>
                </c:pt>
                <c:pt idx="67">
                  <c:v>-12.8402110589353</c:v>
                </c:pt>
                <c:pt idx="68">
                  <c:v>-12.2325184663882</c:v>
                </c:pt>
                <c:pt idx="69">
                  <c:v>-11.6299109350555</c:v>
                </c:pt>
                <c:pt idx="70">
                  <c:v>-11.0326822667851</c:v>
                </c:pt>
                <c:pt idx="71">
                  <c:v>-10.4411212713183</c:v>
                </c:pt>
                <c:pt idx="72">
                  <c:v>-9.85551102240807</c:v>
                </c:pt>
                <c:pt idx="73">
                  <c:v>-9.27612783761207</c:v>
                </c:pt>
                <c:pt idx="74">
                  <c:v>-8.70323988410729</c:v>
                </c:pt>
                <c:pt idx="75">
                  <c:v>-8.13710525857495</c:v>
                </c:pt>
                <c:pt idx="76">
                  <c:v>-7.57796932046919</c:v>
                </c:pt>
                <c:pt idx="77">
                  <c:v>-7.02606093451757</c:v>
                </c:pt>
                <c:pt idx="78">
                  <c:v>-6.4815870809612</c:v>
                </c:pt>
                <c:pt idx="79">
                  <c:v>-5.94472496063194</c:v>
                </c:pt>
                <c:pt idx="80">
                  <c:v>-5.41561012737487</c:v>
                </c:pt>
                <c:pt idx="81">
                  <c:v>-4.8943181120565</c:v>
                </c:pt>
                <c:pt idx="82">
                  <c:v>-4.38083494294018</c:v>
                </c:pt>
                <c:pt idx="83">
                  <c:v>-3.87500784451854</c:v>
                </c:pt>
                <c:pt idx="84">
                  <c:v>-3.37645855331511</c:v>
                </c:pt>
                <c:pt idx="85">
                  <c:v>-2.88442132535481</c:v>
                </c:pt>
                <c:pt idx="86">
                  <c:v>-2.39741623458963</c:v>
                </c:pt>
                <c:pt idx="87">
                  <c:v>-1.91252227790824</c:v>
                </c:pt>
                <c:pt idx="88">
                  <c:v>-1.4235311793827</c:v>
                </c:pt>
                <c:pt idx="89">
                  <c:v>-0.915275944528941</c:v>
                </c:pt>
                <c:pt idx="90">
                  <c:v>-0.340007408054039</c:v>
                </c:pt>
                <c:pt idx="91">
                  <c:v>0.179108081761187</c:v>
                </c:pt>
                <c:pt idx="92">
                  <c:v>0.517261122646601</c:v>
                </c:pt>
                <c:pt idx="93">
                  <c:v>0.853808523876244</c:v>
                </c:pt>
                <c:pt idx="94">
                  <c:v>1.18660797738602</c:v>
                </c:pt>
                <c:pt idx="95">
                  <c:v>1.51383404011167</c:v>
                </c:pt>
                <c:pt idx="96">
                  <c:v>1.83393931593657</c:v>
                </c:pt>
                <c:pt idx="97">
                  <c:v>2.14561825785966</c:v>
                </c:pt>
                <c:pt idx="98">
                  <c:v>2.44777372479099</c:v>
                </c:pt>
                <c:pt idx="99">
                  <c:v>2.73948639225482</c:v>
                </c:pt>
                <c:pt idx="100">
                  <c:v>3.01998706882573</c:v>
                </c:pt>
                <c:pt idx="101">
                  <c:v>3.2886319358767</c:v>
                </c:pt>
                <c:pt idx="102">
                  <c:v>3.54488068242513</c:v>
                </c:pt>
                <c:pt idx="103">
                  <c:v>3.78827747557344</c:v>
                </c:pt>
                <c:pt idx="104">
                  <c:v>4.01843466513664</c:v>
                </c:pt>
                <c:pt idx="105">
                  <c:v>4.23501909476946</c:v>
                </c:pt>
                <c:pt idx="106">
                  <c:v>4.43774085688434</c:v>
                </c:pt>
                <c:pt idx="107">
                  <c:v>4.62634430666368</c:v>
                </c:pt>
                <c:pt idx="108">
                  <c:v>4.80060112916707</c:v>
                </c:pt>
                <c:pt idx="109">
                  <c:v>4.96030523326408</c:v>
                </c:pt>
                <c:pt idx="110">
                  <c:v>5.1052692400251</c:v>
                </c:pt>
                <c:pt idx="111">
                  <c:v>5.23579895938316</c:v>
                </c:pt>
                <c:pt idx="112">
                  <c:v>5.3507407858631</c:v>
                </c:pt>
                <c:pt idx="113">
                  <c:v>5.45042938794284</c:v>
                </c:pt>
                <c:pt idx="114">
                  <c:v>5.53475856064127</c:v>
                </c:pt>
                <c:pt idx="115">
                  <c:v>5.60363957986948</c:v>
                </c:pt>
                <c:pt idx="116">
                  <c:v>5.65700062018439</c:v>
                </c:pt>
                <c:pt idx="117">
                  <c:v>5.69478636270213</c:v>
                </c:pt>
                <c:pt idx="118">
                  <c:v>5.71695773455132</c:v>
                </c:pt>
                <c:pt idx="119">
                  <c:v>5.7234917416645</c:v>
                </c:pt>
                <c:pt idx="120">
                  <c:v>5.71438137840233</c:v>
                </c:pt>
                <c:pt idx="121">
                  <c:v>5.68963560158678</c:v>
                </c:pt>
                <c:pt idx="122">
                  <c:v>5.64927936725739</c:v>
                </c:pt>
                <c:pt idx="123">
                  <c:v>5.59335373495787</c:v>
                </c:pt>
                <c:pt idx="124">
                  <c:v>5.52191604837618</c:v>
                </c:pt>
                <c:pt idx="125">
                  <c:v>5.43504021710533</c:v>
                </c:pt>
                <c:pt idx="126">
                  <c:v>5.33281713481461</c:v>
                </c:pt>
                <c:pt idx="127">
                  <c:v>5.21535530515741</c:v>
                </c:pt>
                <c:pt idx="128">
                  <c:v>5.08233228538938</c:v>
                </c:pt>
                <c:pt idx="129">
                  <c:v>4.93489781609688</c:v>
                </c:pt>
                <c:pt idx="130">
                  <c:v>4.77274630741382</c:v>
                </c:pt>
                <c:pt idx="131">
                  <c:v>4.59606743448732</c:v>
                </c:pt>
                <c:pt idx="132">
                  <c:v>4.405070082149</c:v>
                </c:pt>
                <c:pt idx="133">
                  <c:v>4.19998611087723</c:v>
                </c:pt>
                <c:pt idx="134">
                  <c:v>3.98107575669462</c:v>
                </c:pt>
                <c:pt idx="135">
                  <c:v>3.74863490277942</c:v>
                </c:pt>
                <c:pt idx="136">
                  <c:v>3.50300444280273</c:v>
                </c:pt>
                <c:pt idx="137">
                  <c:v>3.24458194190987</c:v>
                </c:pt>
                <c:pt idx="138">
                  <c:v>2.97383577928702</c:v>
                </c:pt>
                <c:pt idx="139">
                  <c:v>2.69132192695405</c:v>
                </c:pt>
                <c:pt idx="140">
                  <c:v>2.39770349467144</c:v>
                </c:pt>
                <c:pt idx="141">
                  <c:v>2.09377313207384</c:v>
                </c:pt>
                <c:pt idx="142">
                  <c:v>1.78047834904859</c:v>
                </c:pt>
                <c:pt idx="143">
                  <c:v>1.45894977172422</c:v>
                </c:pt>
                <c:pt idx="144">
                  <c:v>1.13053231740004</c:v>
                </c:pt>
                <c:pt idx="145">
                  <c:v>0.796819225543559</c:v>
                </c:pt>
                <c:pt idx="146">
                  <c:v>0.459688846130346</c:v>
                </c:pt>
                <c:pt idx="147">
                  <c:v>0.121344040008825</c:v>
                </c:pt>
                <c:pt idx="148">
                  <c:v>-0.448248880537466</c:v>
                </c:pt>
                <c:pt idx="149">
                  <c:v>-1.00527170014396</c:v>
                </c:pt>
                <c:pt idx="150">
                  <c:v>-1.50858910111837</c:v>
                </c:pt>
                <c:pt idx="151">
                  <c:v>-1.99644046531298</c:v>
                </c:pt>
                <c:pt idx="152">
                  <c:v>-2.48166918244896</c:v>
                </c:pt>
                <c:pt idx="153">
                  <c:v>-2.96969137008701</c:v>
                </c:pt>
                <c:pt idx="154">
                  <c:v>-3.46309821697434</c:v>
                </c:pt>
                <c:pt idx="155">
                  <c:v>-3.96321251911018</c:v>
                </c:pt>
                <c:pt idx="156">
                  <c:v>-4.47071752000232</c:v>
                </c:pt>
                <c:pt idx="157">
                  <c:v>-4.98594488158233</c:v>
                </c:pt>
                <c:pt idx="158">
                  <c:v>-5.50901953253892</c:v>
                </c:pt>
                <c:pt idx="159">
                  <c:v>-6.03993805962441</c:v>
                </c:pt>
                <c:pt idx="160">
                  <c:v>-6.57861370751259</c:v>
                </c:pt>
                <c:pt idx="161">
                  <c:v>-7.12490349082891</c:v>
                </c:pt>
                <c:pt idx="162">
                  <c:v>-7.67862520602781</c:v>
                </c:pt>
                <c:pt idx="163">
                  <c:v>-8.23956847605892</c:v>
                </c:pt>
                <c:pt idx="164">
                  <c:v>-8.80750213483428</c:v>
                </c:pt>
                <c:pt idx="165">
                  <c:v>-9.38217928644459</c:v>
                </c:pt>
                <c:pt idx="166">
                  <c:v>-9.96334084556595</c:v>
                </c:pt>
                <c:pt idx="167">
                  <c:v>-10.5507180572272</c:v>
                </c:pt>
                <c:pt idx="168">
                  <c:v>-11.1440343133318</c:v>
                </c:pt>
                <c:pt idx="169">
                  <c:v>-11.7430064759201</c:v>
                </c:pt>
                <c:pt idx="170">
                  <c:v>-12.3473458435982</c:v>
                </c:pt>
                <c:pt idx="171">
                  <c:v>-12.9567588584425</c:v>
                </c:pt>
                <c:pt idx="172">
                  <c:v>-13.5709476165755</c:v>
                </c:pt>
                <c:pt idx="173">
                  <c:v>-14.1896102314306</c:v>
                </c:pt>
                <c:pt idx="174">
                  <c:v>-14.8124410804899</c:v>
                </c:pt>
                <c:pt idx="175">
                  <c:v>-15.4391309623375</c:v>
                </c:pt>
                <c:pt idx="176">
                  <c:v>-16.0693671794527</c:v>
                </c:pt>
                <c:pt idx="177">
                  <c:v>-16.702833562747</c:v>
                </c:pt>
                <c:pt idx="178">
                  <c:v>-17.3392104455799</c:v>
                </c:pt>
                <c:pt idx="179">
                  <c:v>-17.9781745977039</c:v>
                </c:pt>
                <c:pt idx="180">
                  <c:v>-18.6193991229389</c:v>
                </c:pt>
                <c:pt idx="181">
                  <c:v>-19.2625533275195</c:v>
                </c:pt>
                <c:pt idx="182">
                  <c:v>-19.907302562401</c:v>
                </c:pt>
                <c:pt idx="183">
                  <c:v>-20.5533080421598</c:v>
                </c:pt>
                <c:pt idx="184">
                  <c:v>-21.2002266453386</c:v>
                </c:pt>
                <c:pt idx="185">
                  <c:v>-21.8477106964122</c:v>
                </c:pt>
                <c:pt idx="186">
                  <c:v>-22.495407734188</c:v>
                </c:pt>
                <c:pt idx="187">
                  <c:v>-23.1429602663579</c:v>
                </c:pt>
                <c:pt idx="188">
                  <c:v>-23.7900055148006</c:v>
                </c:pt>
                <c:pt idx="189">
                  <c:v>-24.4361751512652</c:v>
                </c:pt>
                <c:pt idx="190">
                  <c:v>-25.0810950280561</c:v>
                </c:pt>
                <c:pt idx="191">
                  <c:v>-25.7243849034759</c:v>
                </c:pt>
                <c:pt idx="192">
                  <c:v>-26.3656581668643</c:v>
                </c:pt>
                <c:pt idx="193">
                  <c:v>-27.0045215632812</c:v>
                </c:pt>
                <c:pt idx="194">
                  <c:v>-27.6405749230431</c:v>
                </c:pt>
                <c:pt idx="195">
                  <c:v>-28.2734108966704</c:v>
                </c:pt>
                <c:pt idx="196">
                  <c:v>-28.9026147004324</c:v>
                </c:pt>
                <c:pt idx="197">
                  <c:v>-29.5277638752463</c:v>
                </c:pt>
                <c:pt idx="198">
                  <c:v>-30.1484280620232</c:v>
                </c:pt>
                <c:pt idx="199">
                  <c:v>-30.7641687996361</c:v>
                </c:pt>
                <c:pt idx="200">
                  <c:v>-31.3745393476958</c:v>
                </c:pt>
                <c:pt idx="201">
                  <c:v>-31.9790845416537</c:v>
                </c:pt>
                <c:pt idx="202">
                  <c:v>-32.5773406831348</c:v>
                </c:pt>
                <c:pt idx="203">
                  <c:v>-33.1688354738728</c:v>
                </c:pt>
                <c:pt idx="204">
                  <c:v>-33.7530879969792</c:v>
                </c:pt>
                <c:pt idx="205">
                  <c:v>-34.3296087547728</c:v>
                </c:pt>
                <c:pt idx="206">
                  <c:v>-34.8978997676817</c:v>
                </c:pt>
                <c:pt idx="207">
                  <c:v>-35.4574547442065</c:v>
                </c:pt>
                <c:pt idx="208">
                  <c:v>-36.0077593270955</c:v>
                </c:pt>
                <c:pt idx="209">
                  <c:v>-36.5482914262736</c:v>
                </c:pt>
                <c:pt idx="210">
                  <c:v>-37.0785216441076</c:v>
                </c:pt>
                <c:pt idx="211">
                  <c:v>-37.5979138031563</c:v>
                </c:pt>
                <c:pt idx="212">
                  <c:v>-38.1059255836186</c:v>
                </c:pt>
                <c:pt idx="213">
                  <c:v>-38.6020092773521</c:v>
                </c:pt>
                <c:pt idx="214">
                  <c:v>-39.0856126678151</c:v>
                </c:pt>
                <c:pt idx="215">
                  <c:v>-39.5561800398903</c:v>
                </c:pt>
                <c:pt idx="216">
                  <c:v>-40.013153327924</c:v>
                </c:pt>
                <c:pt idx="217">
                  <c:v>-40.4559734036765</c:v>
                </c:pt>
                <c:pt idx="218">
                  <c:v>-40.8840815098629</c:v>
                </c:pt>
                <c:pt idx="219">
                  <c:v>-41.296920837651</c:v>
                </c:pt>
                <c:pt idx="220">
                  <c:v>-41.6939382499587</c:v>
                </c:pt>
                <c:pt idx="221">
                  <c:v>-42.0745861443894</c:v>
                </c:pt>
                <c:pt idx="222">
                  <c:v>-42.4383244526149</c:v>
                </c:pt>
                <c:pt idx="223">
                  <c:v>-42.7846227644066</c:v>
                </c:pt>
                <c:pt idx="224">
                  <c:v>-43.1129625671216</c:v>
                </c:pt>
                <c:pt idx="225">
                  <c:v>-43.4228395825039</c:v>
                </c:pt>
                <c:pt idx="226">
                  <c:v>-43.7137661844011</c:v>
                </c:pt>
                <c:pt idx="227">
                  <c:v>-43.9852738745459</c:v>
                </c:pt>
                <c:pt idx="228">
                  <c:v>-44.2369157903534</c:v>
                </c:pt>
                <c:pt idx="229">
                  <c:v>-44.4682692190728</c:v>
                </c:pt>
                <c:pt idx="230">
                  <c:v>-44.6789380848944</c:v>
                </c:pt>
                <c:pt idx="231">
                  <c:v>-44.8685553795321</c:v>
                </c:pt>
                <c:pt idx="232">
                  <c:v>-45.0367854994017</c:v>
                </c:pt>
                <c:pt idx="233">
                  <c:v>-45.1833264579732</c:v>
                </c:pt>
                <c:pt idx="234">
                  <c:v>-45.3079119359566</c:v>
                </c:pt>
                <c:pt idx="235">
                  <c:v>-45.4103131392275</c:v>
                </c:pt>
                <c:pt idx="236">
                  <c:v>-45.4903404302041</c:v>
                </c:pt>
                <c:pt idx="237">
                  <c:v>-45.547844707537</c:v>
                </c:pt>
                <c:pt idx="238">
                  <c:v>-45.5827185064538</c:v>
                </c:pt>
                <c:pt idx="239">
                  <c:v>-45.5948968029465</c:v>
                </c:pt>
              </c:numCache>
            </c:numRef>
          </c:xVal>
          <c:yVal>
            <c:numRef>
              <c:f>Calculations!$AH$2:$AH$241</c:f>
              <c:numCache>
                <c:formatCode>General</c:formatCode>
                <c:ptCount val="240"/>
                <c:pt idx="0">
                  <c:v>2.1007370257056</c:v>
                </c:pt>
                <c:pt idx="1">
                  <c:v>4.10754542663017</c:v>
                </c:pt>
                <c:pt idx="2">
                  <c:v>6.11170278389312</c:v>
                </c:pt>
                <c:pt idx="3">
                  <c:v>8.11191576833596</c:v>
                </c:pt>
                <c:pt idx="4">
                  <c:v>10.1069179438761</c:v>
                </c:pt>
                <c:pt idx="5">
                  <c:v>12.0954780178504</c:v>
                </c:pt>
                <c:pt idx="6">
                  <c:v>14.0764075511377</c:v>
                </c:pt>
                <c:pt idx="7">
                  <c:v>16.0485680243235</c:v>
                </c:pt>
                <c:pt idx="8">
                  <c:v>18.0108771722411</c:v>
                </c:pt>
                <c:pt idx="9">
                  <c:v>19.9623145201414</c:v>
                </c:pt>
                <c:pt idx="10">
                  <c:v>21.9019260736437</c:v>
                </c:pt>
                <c:pt idx="11">
                  <c:v>23.8288281362655</c:v>
                </c:pt>
                <c:pt idx="12">
                  <c:v>25.742210246966</c:v>
                </c:pt>
                <c:pt idx="13">
                  <c:v>27.6413372495961</c:v>
                </c:pt>
                <c:pt idx="14">
                  <c:v>29.5255505219882</c:v>
                </c:pt>
                <c:pt idx="15">
                  <c:v>31.3942684075791</c:v>
                </c:pt>
                <c:pt idx="16">
                  <c:v>33.2469859039262</c:v>
                </c:pt>
                <c:pt idx="17">
                  <c:v>35.0832736722324</c:v>
                </c:pt>
                <c:pt idx="18">
                  <c:v>36.9027764386195</c:v>
                </c:pt>
                <c:pt idx="19">
                  <c:v>38.7052108621993</c:v>
                </c:pt>
                <c:pt idx="20">
                  <c:v>40.490362946932</c:v>
                </c:pt>
                <c:pt idx="21">
                  <c:v>42.2580850741837</c:v>
                </c:pt>
                <c:pt idx="22">
                  <c:v>44.0082927307949</c:v>
                </c:pt>
                <c:pt idx="23">
                  <c:v>45.7409610043112</c:v>
                </c:pt>
                <c:pt idx="24">
                  <c:v>47.456120912067</c:v>
                </c:pt>
                <c:pt idx="25">
                  <c:v>49.1538556258223</c:v>
                </c:pt>
                <c:pt idx="26">
                  <c:v>50.8342966470554</c:v>
                </c:pt>
                <c:pt idx="27">
                  <c:v>52.4976199823141</c:v>
                </c:pt>
                <c:pt idx="28">
                  <c:v>54.1440423608332</c:v>
                </c:pt>
                <c:pt idx="29">
                  <c:v>55.7738175310812</c:v>
                </c:pt>
                <c:pt idx="30">
                  <c:v>57.3872326658866</c:v>
                </c:pt>
                <c:pt idx="31">
                  <c:v>58.9846049008428</c:v>
                </c:pt>
                <c:pt idx="32">
                  <c:v>60.566278024822</c:v>
                </c:pt>
                <c:pt idx="33">
                  <c:v>62.1326193365025</c:v>
                </c:pt>
                <c:pt idx="34">
                  <c:v>63.6840166771386</c:v>
                </c:pt>
                <c:pt idx="35">
                  <c:v>65.2208756448997</c:v>
                </c:pt>
                <c:pt idx="36">
                  <c:v>66.7436169940271</c:v>
                </c:pt>
                <c:pt idx="37">
                  <c:v>68.2526742179404</c:v>
                </c:pt>
                <c:pt idx="38">
                  <c:v>69.7484913143984</c:v>
                </c:pt>
                <c:pt idx="39">
                  <c:v>71.2315207275241</c:v>
                </c:pt>
                <c:pt idx="40">
                  <c:v>72.702221461356</c:v>
                </c:pt>
                <c:pt idx="41">
                  <c:v>74.1610573569694</c:v>
                </c:pt>
                <c:pt idx="42">
                  <c:v>75.6084955257738</c:v>
                </c:pt>
                <c:pt idx="43">
                  <c:v>77.0450049294916</c:v>
                </c:pt>
                <c:pt idx="44">
                  <c:v>78.4710550984256</c:v>
                </c:pt>
                <c:pt idx="45">
                  <c:v>79.8871149779258</c:v>
                </c:pt>
                <c:pt idx="46">
                  <c:v>81.2936518942606</c:v>
                </c:pt>
                <c:pt idx="47">
                  <c:v>82.6911306303497</c:v>
                </c:pt>
                <c:pt idx="48">
                  <c:v>84.0800126019871</c:v>
                </c:pt>
                <c:pt idx="49">
                  <c:v>85.4607551263348</c:v>
                </c:pt>
                <c:pt idx="50">
                  <c:v>86.8338107734105</c:v>
                </c:pt>
                <c:pt idx="51">
                  <c:v>88.1996267932418</c:v>
                </c:pt>
                <c:pt idx="52">
                  <c:v>89.5586446101792</c:v>
                </c:pt>
                <c:pt idx="53">
                  <c:v>90.9112993778886</c:v>
                </c:pt>
                <c:pt idx="54">
                  <c:v>92.2580195873974</c:v>
                </c:pt>
                <c:pt idx="55">
                  <c:v>93.5992267225992</c:v>
                </c:pt>
                <c:pt idx="56">
                  <c:v>94.9353349564915</c:v>
                </c:pt>
                <c:pt idx="57">
                  <c:v>96.2667508834189</c:v>
                </c:pt>
                <c:pt idx="58">
                  <c:v>97.5938732814657</c:v>
                </c:pt>
                <c:pt idx="59">
                  <c:v>98.9170929010924</c:v>
                </c:pt>
                <c:pt idx="60">
                  <c:v>100.236792275</c:v>
                </c:pt>
                <c:pt idx="61">
                  <c:v>101.553345545911</c:v>
                </c:pt>
                <c:pt idx="62">
                  <c:v>102.867118308478</c:v>
                </c:pt>
                <c:pt idx="63">
                  <c:v>104.178467461915</c:v>
                </c:pt>
                <c:pt idx="64">
                  <c:v>105.487741071017</c:v>
                </c:pt>
                <c:pt idx="65">
                  <c:v>106.795278232331</c:v>
                </c:pt>
                <c:pt idx="66">
                  <c:v>108.10140894391</c:v>
                </c:pt>
                <c:pt idx="67">
                  <c:v>109.406453975971</c:v>
                </c:pt>
                <c:pt idx="68">
                  <c:v>110.710724741419</c:v>
                </c:pt>
                <c:pt idx="69">
                  <c:v>112.014523164119</c:v>
                </c:pt>
                <c:pt idx="70">
                  <c:v>113.318141544355</c:v>
                </c:pt>
                <c:pt idx="71">
                  <c:v>114.621862419874</c:v>
                </c:pt>
                <c:pt idx="72">
                  <c:v>115.92595842238</c:v>
                </c:pt>
                <c:pt idx="73">
                  <c:v>117.230692128386</c:v>
                </c:pt>
                <c:pt idx="74">
                  <c:v>118.536315904693</c:v>
                </c:pt>
                <c:pt idx="75">
                  <c:v>119.843071747864</c:v>
                </c:pt>
                <c:pt idx="76">
                  <c:v>121.151191118268</c:v>
                </c:pt>
                <c:pt idx="77">
                  <c:v>122.460894768829</c:v>
                </c:pt>
                <c:pt idx="78">
                  <c:v>123.772392568872</c:v>
                </c:pt>
                <c:pt idx="79">
                  <c:v>125.085883324171</c:v>
                </c:pt>
                <c:pt idx="80">
                  <c:v>126.401554593659</c:v>
                </c:pt>
                <c:pt idx="81">
                  <c:v>127.719582504372</c:v>
                </c:pt>
                <c:pt idx="82">
                  <c:v>129.040131565465</c:v>
                </c:pt>
                <c:pt idx="83">
                  <c:v>130.363354483205</c:v>
                </c:pt>
                <c:pt idx="84">
                  <c:v>131.689391978172</c:v>
                </c:pt>
                <c:pt idx="85">
                  <c:v>133.01837260685</c:v>
                </c:pt>
                <c:pt idx="86">
                  <c:v>134.350412589212</c:v>
                </c:pt>
                <c:pt idx="87">
                  <c:v>135.685615644712</c:v>
                </c:pt>
                <c:pt idx="88">
                  <c:v>137.024072838632</c:v>
                </c:pt>
                <c:pt idx="89">
                  <c:v>138.365862441367</c:v>
                </c:pt>
                <c:pt idx="90">
                  <c:v>139.711049802866</c:v>
                </c:pt>
                <c:pt idx="91">
                  <c:v>141.059687244911</c:v>
                </c:pt>
                <c:pt idx="92">
                  <c:v>142.41181397372</c:v>
                </c:pt>
                <c:pt idx="93">
                  <c:v>143.767456015453</c:v>
                </c:pt>
                <c:pt idx="94">
                  <c:v>145.126626177311</c:v>
                </c:pt>
                <c:pt idx="95">
                  <c:v>146.489324036713</c:v>
                </c:pt>
                <c:pt idx="96">
                  <c:v>147.855535961165</c:v>
                </c:pt>
                <c:pt idx="97">
                  <c:v>149.225235161213</c:v>
                </c:pt>
                <c:pt idx="98">
                  <c:v>150.598381778837</c:v>
                </c:pt>
                <c:pt idx="99">
                  <c:v>151.974923013483</c:v>
                </c:pt>
                <c:pt idx="100">
                  <c:v>153.354793287676</c:v>
                </c:pt>
                <c:pt idx="101">
                  <c:v>154.737914454105</c:v>
                </c:pt>
                <c:pt idx="102">
                  <c:v>156.124196045557</c:v>
                </c:pt>
                <c:pt idx="103">
                  <c:v>157.513535569155</c:v>
                </c:pt>
                <c:pt idx="104">
                  <c:v>158.9058188456</c:v>
                </c:pt>
                <c:pt idx="105">
                  <c:v>160.300920394277</c:v>
                </c:pt>
                <c:pt idx="106">
                  <c:v>161.698703864246</c:v>
                </c:pt>
                <c:pt idx="107">
                  <c:v>163.099022511035</c:v>
                </c:pt>
                <c:pt idx="108">
                  <c:v>164.501719718838</c:v>
                </c:pt>
                <c:pt idx="109">
                  <c:v>165.906629566832</c:v>
                </c:pt>
                <c:pt idx="110">
                  <c:v>167.313577438652</c:v>
                </c:pt>
                <c:pt idx="111">
                  <c:v>168.72238067275</c:v>
                </c:pt>
                <c:pt idx="112">
                  <c:v>170.132849251955</c:v>
                </c:pt>
                <c:pt idx="113">
                  <c:v>171.544786529058</c:v>
                </c:pt>
                <c:pt idx="114">
                  <c:v>172.957989986017</c:v>
                </c:pt>
                <c:pt idx="115">
                  <c:v>174.372252022813</c:v>
                </c:pt>
                <c:pt idx="116">
                  <c:v>175.78736077294</c:v>
                </c:pt>
                <c:pt idx="117">
                  <c:v>177.203100940849</c:v>
                </c:pt>
                <c:pt idx="118">
                  <c:v>178.619254657869</c:v>
                </c:pt>
                <c:pt idx="119">
                  <c:v>180.035602351364</c:v>
                </c:pt>
                <c:pt idx="120">
                  <c:v>181.451923623632</c:v>
                </c:pt>
                <c:pt idx="121">
                  <c:v>182.867998134276</c:v>
                </c:pt>
                <c:pt idx="122">
                  <c:v>184.283606483107</c:v>
                </c:pt>
                <c:pt idx="123">
                  <c:v>185.69853108764</c:v>
                </c:pt>
                <c:pt idx="124">
                  <c:v>187.112557050627</c:v>
                </c:pt>
                <c:pt idx="125">
                  <c:v>188.525473013751</c:v>
                </c:pt>
                <c:pt idx="126">
                  <c:v>189.937071992104</c:v>
                </c:pt>
                <c:pt idx="127">
                  <c:v>191.347152186291</c:v>
                </c:pt>
                <c:pt idx="128">
                  <c:v>192.755517767164</c:v>
                </c:pt>
                <c:pt idx="129">
                  <c:v>194.161979630664</c:v>
                </c:pt>
                <c:pt idx="130">
                  <c:v>195.566356118312</c:v>
                </c:pt>
                <c:pt idx="131">
                  <c:v>196.968473701607</c:v>
                </c:pt>
                <c:pt idx="132">
                  <c:v>198.368167626541</c:v>
                </c:pt>
                <c:pt idx="133">
                  <c:v>199.765282517348</c:v>
                </c:pt>
                <c:pt idx="134">
                  <c:v>201.15967293645</c:v>
                </c:pt>
                <c:pt idx="135">
                  <c:v>202.551203900565</c:v>
                </c:pt>
                <c:pt idx="136">
                  <c:v>203.939751351035</c:v>
                </c:pt>
                <c:pt idx="137">
                  <c:v>205.325202578273</c:v>
                </c:pt>
                <c:pt idx="138">
                  <c:v>206.707456600739</c:v>
                </c:pt>
                <c:pt idx="139">
                  <c:v>208.08642449756</c:v>
                </c:pt>
                <c:pt idx="140">
                  <c:v>209.462029696902</c:v>
                </c:pt>
                <c:pt idx="141">
                  <c:v>210.834208219561</c:v>
                </c:pt>
                <c:pt idx="142">
                  <c:v>212.20290888063</c:v>
                </c:pt>
                <c:pt idx="143">
                  <c:v>213.568093449211</c:v>
                </c:pt>
                <c:pt idx="144">
                  <c:v>214.929736769627</c:v>
                </c:pt>
                <c:pt idx="145">
                  <c:v>216.287826844513</c:v>
                </c:pt>
                <c:pt idx="146">
                  <c:v>217.642364883667</c:v>
                </c:pt>
                <c:pt idx="147">
                  <c:v>218.993365319322</c:v>
                </c:pt>
                <c:pt idx="148">
                  <c:v>220.340855792025</c:v>
                </c:pt>
                <c:pt idx="149">
                  <c:v>221.684877107919</c:v>
                </c:pt>
                <c:pt idx="150">
                  <c:v>223.025483171742</c:v>
                </c:pt>
                <c:pt idx="151">
                  <c:v>224.362740896757</c:v>
                </c:pt>
                <c:pt idx="152">
                  <c:v>225.696730094755</c:v>
                </c:pt>
                <c:pt idx="153">
                  <c:v>227.027543349317</c:v>
                </c:pt>
                <c:pt idx="154">
                  <c:v>228.355285873351</c:v>
                </c:pt>
                <c:pt idx="155">
                  <c:v>229.680075355186</c:v>
                </c:pt>
                <c:pt idx="156">
                  <c:v>231.002041793622</c:v>
                </c:pt>
                <c:pt idx="157">
                  <c:v>232.321327326116</c:v>
                </c:pt>
                <c:pt idx="158">
                  <c:v>233.638086050205</c:v>
                </c:pt>
                <c:pt idx="159">
                  <c:v>234.952483842103</c:v>
                </c:pt>
                <c:pt idx="160">
                  <c:v>236.264698172264</c:v>
                </c:pt>
                <c:pt idx="161">
                  <c:v>237.574917921555</c:v>
                </c:pt>
                <c:pt idx="162">
                  <c:v>238.883343197456</c:v>
                </c:pt>
                <c:pt idx="163">
                  <c:v>240.19018515363</c:v>
                </c:pt>
                <c:pt idx="164">
                  <c:v>241.495665811873</c:v>
                </c:pt>
                <c:pt idx="165">
                  <c:v>242.800017889399</c:v>
                </c:pt>
                <c:pt idx="166">
                  <c:v>244.103484630515</c:v>
                </c:pt>
                <c:pt idx="167">
                  <c:v>245.406319643862</c:v>
                </c:pt>
                <c:pt idx="168">
                  <c:v>246.708786746248</c:v>
                </c:pt>
                <c:pt idx="169">
                  <c:v>248.011159811454</c:v>
                </c:pt>
                <c:pt idx="170">
                  <c:v>249.313722626086</c:v>
                </c:pt>
                <c:pt idx="171">
                  <c:v>250.616768749922</c:v>
                </c:pt>
                <c:pt idx="172">
                  <c:v>251.920601382485</c:v>
                </c:pt>
                <c:pt idx="173">
                  <c:v>253.225533232847</c:v>
                </c:pt>
                <c:pt idx="174">
                  <c:v>254.531886393946</c:v>
                </c:pt>
                <c:pt idx="175">
                  <c:v>255.839992217924</c:v>
                </c:pt>
                <c:pt idx="176">
                  <c:v>257.150191193323</c:v>
                </c:pt>
                <c:pt idx="177">
                  <c:v>258.462832820091</c:v>
                </c:pt>
                <c:pt idx="178">
                  <c:v>259.778275482764</c:v>
                </c:pt>
                <c:pt idx="179">
                  <c:v>261.096886317163</c:v>
                </c:pt>
                <c:pt idx="180">
                  <c:v>262.41904107036</c:v>
                </c:pt>
                <c:pt idx="181">
                  <c:v>263.745123949142</c:v>
                </c:pt>
                <c:pt idx="182">
                  <c:v>265.075527454523</c:v>
                </c:pt>
                <c:pt idx="183">
                  <c:v>266.410652199482</c:v>
                </c:pt>
                <c:pt idx="184">
                  <c:v>267.750906704126</c:v>
                </c:pt>
                <c:pt idx="185">
                  <c:v>269.096707166312</c:v>
                </c:pt>
                <c:pt idx="186">
                  <c:v>270.448477200588</c:v>
                </c:pt>
                <c:pt idx="187">
                  <c:v>271.806647542782</c:v>
                </c:pt>
                <c:pt idx="188">
                  <c:v>273.171655712219</c:v>
                </c:pt>
                <c:pt idx="189">
                  <c:v>274.543945628038</c:v>
                </c:pt>
                <c:pt idx="190">
                  <c:v>275.923967170676</c:v>
                </c:pt>
                <c:pt idx="191">
                  <c:v>277.312175684102</c:v>
                </c:pt>
                <c:pt idx="192">
                  <c:v>278.709031408925</c:v>
                </c:pt>
                <c:pt idx="193">
                  <c:v>280.11499884107</c:v>
                </c:pt>
                <c:pt idx="194">
                  <c:v>281.530546005247</c:v>
                </c:pt>
                <c:pt idx="195">
                  <c:v>282.956143637036</c:v>
                </c:pt>
                <c:pt idx="196">
                  <c:v>284.392264262579</c:v>
                </c:pt>
                <c:pt idx="197">
                  <c:v>285.839381167379</c:v>
                </c:pt>
                <c:pt idx="198">
                  <c:v>287.297967245514</c:v>
                </c:pt>
                <c:pt idx="199">
                  <c:v>288.768493717624</c:v>
                </c:pt>
                <c:pt idx="200">
                  <c:v>290.251428710575</c:v>
                </c:pt>
                <c:pt idx="201">
                  <c:v>291.747235686801</c:v>
                </c:pt>
                <c:pt idx="202">
                  <c:v>293.256371716873</c:v>
                </c:pt>
                <c:pt idx="203">
                  <c:v>294.779285584267</c:v>
                </c:pt>
                <c:pt idx="204">
                  <c:v>296.316415717359</c:v>
                </c:pt>
                <c:pt idx="205">
                  <c:v>297.86818793967</c:v>
                </c:pt>
                <c:pt idx="206">
                  <c:v>299.435013036113</c:v>
                </c:pt>
                <c:pt idx="207">
                  <c:v>301.017284129729</c:v>
                </c:pt>
                <c:pt idx="208">
                  <c:v>302.615373870947</c:v>
                </c:pt>
                <c:pt idx="209">
                  <c:v>304.229631439086</c:v>
                </c:pt>
                <c:pt idx="210">
                  <c:v>305.860379364218</c:v>
                </c:pt>
                <c:pt idx="211">
                  <c:v>307.507910176906</c:v>
                </c:pt>
                <c:pt idx="212">
                  <c:v>309.172482900545</c:v>
                </c:pt>
                <c:pt idx="213">
                  <c:v>310.854319405977</c:v>
                </c:pt>
                <c:pt idx="214">
                  <c:v>312.553600650713</c:v>
                </c:pt>
                <c:pt idx="215">
                  <c:v>314.270462835463</c:v>
                </c:pt>
                <c:pt idx="216">
                  <c:v>316.004993511941</c:v>
                </c:pt>
                <c:pt idx="217">
                  <c:v>317.757227687514</c:v>
                </c:pt>
                <c:pt idx="218">
                  <c:v>319.527143973875</c:v>
                </c:pt>
                <c:pt idx="219">
                  <c:v>321.314660838467</c:v>
                </c:pt>
                <c:pt idx="220">
                  <c:v>323.119633018682</c:v>
                </c:pt>
                <c:pt idx="221">
                  <c:v>324.94184816945</c:v>
                </c:pt>
                <c:pt idx="222">
                  <c:v>326.781023814782</c:v>
                </c:pt>
                <c:pt idx="223">
                  <c:v>328.636804682264</c:v>
                </c:pt>
                <c:pt idx="224">
                  <c:v>330.508760496877</c:v>
                </c:pt>
                <c:pt idx="225">
                  <c:v>332.396384315417</c:v>
                </c:pt>
                <c:pt idx="226">
                  <c:v>334.299091476873</c:v>
                </c:pt>
                <c:pt idx="227">
                  <c:v>336.216219242446</c:v>
                </c:pt>
                <c:pt idx="228">
                  <c:v>338.14702719193</c:v>
                </c:pt>
                <c:pt idx="229">
                  <c:v>340.090698431393</c:v>
                </c:pt>
                <c:pt idx="230">
                  <c:v>342.046341658535</c:v>
                </c:pt>
                <c:pt idx="231">
                  <c:v>344.012994113275</c:v>
                </c:pt>
                <c:pt idx="232">
                  <c:v>345.989625428089</c:v>
                </c:pt>
                <c:pt idx="233">
                  <c:v>347.975142369723</c:v>
                </c:pt>
                <c:pt idx="234">
                  <c:v>349.968394447462</c:v>
                </c:pt>
                <c:pt idx="235">
                  <c:v>351.96818033843</c:v>
                </c:pt>
                <c:pt idx="236">
                  <c:v>353.97325506311</c:v>
                </c:pt>
                <c:pt idx="237">
                  <c:v>355.982337820784</c:v>
                </c:pt>
                <c:pt idx="238">
                  <c:v>357.994120379659</c:v>
                </c:pt>
                <c:pt idx="239">
                  <c:v>0.00727589778955462</c:v>
                </c:pt>
              </c:numCache>
            </c:numRef>
          </c:yVal>
          <c:smooth val="1"/>
        </c:ser>
        <c:axId val="86098427"/>
        <c:axId val="84654401"/>
      </c:scatterChart>
      <c:valAx>
        <c:axId val="86098427"/>
        <c:scaling>
          <c:orientation val="minMax"/>
          <c:max val="9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654401"/>
        <c:crossesAt val="0"/>
        <c:crossBetween val="midCat"/>
        <c:majorUnit val="10"/>
      </c:valAx>
      <c:valAx>
        <c:axId val="84654401"/>
        <c:scaling>
          <c:orientation val="minMax"/>
          <c:max val="360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098427"/>
        <c:crossesAt val="0"/>
        <c:crossBetween val="midCat"/>
        <c:majorUnit val="45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Sun Declination (deg)</a:t>
            </a:r>
          </a:p>
        </c:rich>
      </c:tx>
      <c:layout>
        <c:manualLayout>
          <c:xMode val="edge"/>
          <c:yMode val="edge"/>
          <c:x val="0.172857591294339"/>
          <c:y val="0.0924552987352813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2559380558753"/>
          <c:y val="0.399912778020061"/>
          <c:w val="0.687663492727843"/>
          <c:h val="0.507631923244658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Calculations!$T$1</c:f>
              <c:strCache>
                <c:ptCount val="1"/>
                <c:pt idx="0">
                  <c:v>Sun Declin (deg)</c:v>
                </c:pt>
              </c:strCache>
            </c:strRef>
          </c:tx>
          <c:spPr>
            <a:solidFill>
              <a:srgbClr val="666699"/>
            </a:solidFill>
            <a:ln w="2556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Calculations!$T$2:$T$241</c:f>
              <c:numCache>
                <c:formatCode>General</c:formatCode>
                <c:ptCount val="240"/>
                <c:pt idx="0">
                  <c:v>-19.848066678262</c:v>
                </c:pt>
                <c:pt idx="1">
                  <c:v>-19.8489933269024</c:v>
                </c:pt>
                <c:pt idx="2">
                  <c:v>-19.8499198711415</c:v>
                </c:pt>
                <c:pt idx="3">
                  <c:v>-19.8508463107655</c:v>
                </c:pt>
                <c:pt idx="4">
                  <c:v>-19.8517726459745</c:v>
                </c:pt>
                <c:pt idx="5">
                  <c:v>-19.8526988765539</c:v>
                </c:pt>
                <c:pt idx="6">
                  <c:v>-19.8536250027028</c:v>
                </c:pt>
                <c:pt idx="7">
                  <c:v>-19.8545510242077</c:v>
                </c:pt>
                <c:pt idx="8">
                  <c:v>-19.8554769412684</c:v>
                </c:pt>
                <c:pt idx="9">
                  <c:v>-19.8564027536705</c:v>
                </c:pt>
                <c:pt idx="10">
                  <c:v>-19.8573284616131</c:v>
                </c:pt>
                <c:pt idx="11">
                  <c:v>-19.8582540648826</c:v>
                </c:pt>
                <c:pt idx="12">
                  <c:v>-19.8591795636788</c:v>
                </c:pt>
                <c:pt idx="13">
                  <c:v>-19.8601049577875</c:v>
                </c:pt>
                <c:pt idx="14">
                  <c:v>-19.8610302474075</c:v>
                </c:pt>
                <c:pt idx="15">
                  <c:v>-19.8619554324291</c:v>
                </c:pt>
                <c:pt idx="16">
                  <c:v>-19.862880512741</c:v>
                </c:pt>
                <c:pt idx="17">
                  <c:v>-19.8638054885433</c:v>
                </c:pt>
                <c:pt idx="18">
                  <c:v>-19.8647303596213</c:v>
                </c:pt>
                <c:pt idx="19">
                  <c:v>-19.8656551261752</c:v>
                </c:pt>
                <c:pt idx="20">
                  <c:v>-19.8665797879907</c:v>
                </c:pt>
                <c:pt idx="21">
                  <c:v>-19.8675043452668</c:v>
                </c:pt>
                <c:pt idx="22">
                  <c:v>-19.86842879779</c:v>
                </c:pt>
                <c:pt idx="23">
                  <c:v>-19.8693531457599</c:v>
                </c:pt>
                <c:pt idx="24">
                  <c:v>-19.8702773889626</c:v>
                </c:pt>
                <c:pt idx="25">
                  <c:v>-19.8712015275967</c:v>
                </c:pt>
                <c:pt idx="26">
                  <c:v>-19.872125561449</c:v>
                </c:pt>
                <c:pt idx="27">
                  <c:v>-19.873049490719</c:v>
                </c:pt>
                <c:pt idx="28">
                  <c:v>-19.8739733151927</c:v>
                </c:pt>
                <c:pt idx="29">
                  <c:v>-19.8748970350691</c:v>
                </c:pt>
                <c:pt idx="30">
                  <c:v>-19.8758206502372</c:v>
                </c:pt>
                <c:pt idx="31">
                  <c:v>-19.876744160588</c:v>
                </c:pt>
                <c:pt idx="32">
                  <c:v>-19.8776675663197</c:v>
                </c:pt>
                <c:pt idx="33">
                  <c:v>-19.878590867219</c:v>
                </c:pt>
                <c:pt idx="34">
                  <c:v>-19.8795140634843</c:v>
                </c:pt>
                <c:pt idx="35">
                  <c:v>-19.8804371549027</c:v>
                </c:pt>
                <c:pt idx="36">
                  <c:v>-19.8813601416733</c:v>
                </c:pt>
                <c:pt idx="37">
                  <c:v>-19.8822830235826</c:v>
                </c:pt>
                <c:pt idx="38">
                  <c:v>-19.8832058008288</c:v>
                </c:pt>
                <c:pt idx="39">
                  <c:v>-19.884128473199</c:v>
                </c:pt>
                <c:pt idx="40">
                  <c:v>-19.8850510408926</c:v>
                </c:pt>
                <c:pt idx="41">
                  <c:v>-19.8859735036958</c:v>
                </c:pt>
                <c:pt idx="42">
                  <c:v>-19.8868958618069</c:v>
                </c:pt>
                <c:pt idx="43">
                  <c:v>-19.8878181150131</c:v>
                </c:pt>
                <c:pt idx="44">
                  <c:v>-19.8887402635136</c:v>
                </c:pt>
                <c:pt idx="45">
                  <c:v>-19.8896623071977</c:v>
                </c:pt>
                <c:pt idx="46">
                  <c:v>-19.8905842459548</c:v>
                </c:pt>
                <c:pt idx="47">
                  <c:v>-19.8915060799844</c:v>
                </c:pt>
                <c:pt idx="48">
                  <c:v>-19.8924278090725</c:v>
                </c:pt>
                <c:pt idx="49">
                  <c:v>-19.8933494334186</c:v>
                </c:pt>
                <c:pt idx="50">
                  <c:v>-19.8942709528092</c:v>
                </c:pt>
                <c:pt idx="51">
                  <c:v>-19.8951923674424</c:v>
                </c:pt>
                <c:pt idx="52">
                  <c:v>-19.8961136771057</c:v>
                </c:pt>
                <c:pt idx="53">
                  <c:v>-19.8970348819978</c:v>
                </c:pt>
                <c:pt idx="54">
                  <c:v>-19.8979559819056</c:v>
                </c:pt>
                <c:pt idx="55">
                  <c:v>-19.898876977027</c:v>
                </c:pt>
                <c:pt idx="56">
                  <c:v>-19.8997978671495</c:v>
                </c:pt>
                <c:pt idx="57">
                  <c:v>-19.9007186524719</c:v>
                </c:pt>
                <c:pt idx="58">
                  <c:v>-19.901639332781</c:v>
                </c:pt>
                <c:pt idx="59">
                  <c:v>-19.9025599082746</c:v>
                </c:pt>
                <c:pt idx="60">
                  <c:v>-19.9034803788437</c:v>
                </c:pt>
                <c:pt idx="61">
                  <c:v>-19.9044007443773</c:v>
                </c:pt>
                <c:pt idx="62">
                  <c:v>-19.9053210050746</c:v>
                </c:pt>
                <c:pt idx="63">
                  <c:v>-19.906241160722</c:v>
                </c:pt>
                <c:pt idx="64">
                  <c:v>-19.9071612115185</c:v>
                </c:pt>
                <c:pt idx="65">
                  <c:v>-19.9080811572508</c:v>
                </c:pt>
                <c:pt idx="66">
                  <c:v>-19.9090009981177</c:v>
                </c:pt>
                <c:pt idx="67">
                  <c:v>-19.9099207339058</c:v>
                </c:pt>
                <c:pt idx="68">
                  <c:v>-19.9108403648141</c:v>
                </c:pt>
                <c:pt idx="69">
                  <c:v>-19.9117598906292</c:v>
                </c:pt>
                <c:pt idx="70">
                  <c:v>-19.9126793115499</c:v>
                </c:pt>
                <c:pt idx="71">
                  <c:v>-19.913598627363</c:v>
                </c:pt>
                <c:pt idx="72">
                  <c:v>-19.9145178382673</c:v>
                </c:pt>
                <c:pt idx="73">
                  <c:v>-19.9154369440495</c:v>
                </c:pt>
                <c:pt idx="74">
                  <c:v>-19.9163559449083</c:v>
                </c:pt>
                <c:pt idx="75">
                  <c:v>-19.9172748407332</c:v>
                </c:pt>
                <c:pt idx="76">
                  <c:v>-19.9181936314151</c:v>
                </c:pt>
                <c:pt idx="77">
                  <c:v>-19.9191123171516</c:v>
                </c:pt>
                <c:pt idx="78">
                  <c:v>-19.9200308977299</c:v>
                </c:pt>
                <c:pt idx="79">
                  <c:v>-19.9209493733482</c:v>
                </c:pt>
                <c:pt idx="80">
                  <c:v>-19.9218677437947</c:v>
                </c:pt>
                <c:pt idx="81">
                  <c:v>-19.9227860092668</c:v>
                </c:pt>
                <c:pt idx="82">
                  <c:v>-19.9237041695522</c:v>
                </c:pt>
                <c:pt idx="83">
                  <c:v>-19.924622224848</c:v>
                </c:pt>
                <c:pt idx="84">
                  <c:v>-19.9255401749434</c:v>
                </c:pt>
                <c:pt idx="85">
                  <c:v>-19.9264580200355</c:v>
                </c:pt>
                <c:pt idx="86">
                  <c:v>-19.927375759912</c:v>
                </c:pt>
                <c:pt idx="87">
                  <c:v>-19.9282933947703</c:v>
                </c:pt>
                <c:pt idx="88">
                  <c:v>-19.9292109243986</c:v>
                </c:pt>
                <c:pt idx="89">
                  <c:v>-19.930128348995</c:v>
                </c:pt>
                <c:pt idx="90">
                  <c:v>-19.9310456684494</c:v>
                </c:pt>
                <c:pt idx="91">
                  <c:v>-19.9319628826518</c:v>
                </c:pt>
                <c:pt idx="92">
                  <c:v>-19.9328799918001</c:v>
                </c:pt>
                <c:pt idx="93">
                  <c:v>-19.9337969956829</c:v>
                </c:pt>
                <c:pt idx="94">
                  <c:v>-19.9347138944971</c:v>
                </c:pt>
                <c:pt idx="95">
                  <c:v>-19.9356306880305</c:v>
                </c:pt>
                <c:pt idx="96">
                  <c:v>-19.9365473764814</c:v>
                </c:pt>
                <c:pt idx="97">
                  <c:v>-19.9374639596369</c:v>
                </c:pt>
                <c:pt idx="98">
                  <c:v>-19.9383804376954</c:v>
                </c:pt>
                <c:pt idx="99">
                  <c:v>-19.9392968104443</c:v>
                </c:pt>
                <c:pt idx="100">
                  <c:v>-19.9402130780816</c:v>
                </c:pt>
                <c:pt idx="101">
                  <c:v>-19.9411292403948</c:v>
                </c:pt>
                <c:pt idx="102">
                  <c:v>-19.9420452975821</c:v>
                </c:pt>
                <c:pt idx="103">
                  <c:v>-19.9429612494308</c:v>
                </c:pt>
                <c:pt idx="104">
                  <c:v>-19.9438770961392</c:v>
                </c:pt>
                <c:pt idx="105">
                  <c:v>-19.9447928375972</c:v>
                </c:pt>
                <c:pt idx="106">
                  <c:v>-19.945708473695</c:v>
                </c:pt>
                <c:pt idx="107">
                  <c:v>-19.9466240046304</c:v>
                </c:pt>
                <c:pt idx="108">
                  <c:v>-19.947539430192</c:v>
                </c:pt>
                <c:pt idx="109">
                  <c:v>-19.9484547505767</c:v>
                </c:pt>
                <c:pt idx="110">
                  <c:v>-19.9493699655724</c:v>
                </c:pt>
                <c:pt idx="111">
                  <c:v>-19.9502850753767</c:v>
                </c:pt>
                <c:pt idx="112">
                  <c:v>-19.9512000797784</c:v>
                </c:pt>
                <c:pt idx="113">
                  <c:v>-19.9521149789742</c:v>
                </c:pt>
                <c:pt idx="114">
                  <c:v>-19.9530297727523</c:v>
                </c:pt>
                <c:pt idx="115">
                  <c:v>-19.9539444613101</c:v>
                </c:pt>
                <c:pt idx="116">
                  <c:v>-19.9548590444365</c:v>
                </c:pt>
                <c:pt idx="117">
                  <c:v>-19.9557735223281</c:v>
                </c:pt>
                <c:pt idx="118">
                  <c:v>-19.9566878947732</c:v>
                </c:pt>
                <c:pt idx="119">
                  <c:v>-19.9576021619694</c:v>
                </c:pt>
                <c:pt idx="120">
                  <c:v>-19.9585163238068</c:v>
                </c:pt>
                <c:pt idx="121">
                  <c:v>-19.9594303801767</c:v>
                </c:pt>
                <c:pt idx="122">
                  <c:v>-19.9603443312758</c:v>
                </c:pt>
                <c:pt idx="123">
                  <c:v>-19.9612581768924</c:v>
                </c:pt>
                <c:pt idx="124">
                  <c:v>-19.9621719172236</c:v>
                </c:pt>
                <c:pt idx="125">
                  <c:v>-19.9630855520586</c:v>
                </c:pt>
                <c:pt idx="126">
                  <c:v>-19.9639990815939</c:v>
                </c:pt>
                <c:pt idx="127">
                  <c:v>-19.9649125056179</c:v>
                </c:pt>
                <c:pt idx="128">
                  <c:v>-19.9658258243276</c:v>
                </c:pt>
                <c:pt idx="129">
                  <c:v>-19.9667390375124</c:v>
                </c:pt>
                <c:pt idx="130">
                  <c:v>-19.9676521453686</c:v>
                </c:pt>
                <c:pt idx="131">
                  <c:v>-19.9685651476847</c:v>
                </c:pt>
                <c:pt idx="132">
                  <c:v>-19.9694780446577</c:v>
                </c:pt>
                <c:pt idx="133">
                  <c:v>-19.970390836077</c:v>
                </c:pt>
                <c:pt idx="134">
                  <c:v>-19.9713035221388</c:v>
                </c:pt>
                <c:pt idx="135">
                  <c:v>-19.9722161027339</c:v>
                </c:pt>
                <c:pt idx="136">
                  <c:v>-19.9731285777527</c:v>
                </c:pt>
                <c:pt idx="137">
                  <c:v>-19.974040947393</c:v>
                </c:pt>
                <c:pt idx="138">
                  <c:v>-19.9749532114433</c:v>
                </c:pt>
                <c:pt idx="139">
                  <c:v>-19.9758653701</c:v>
                </c:pt>
                <c:pt idx="140">
                  <c:v>-19.9767774231515</c:v>
                </c:pt>
                <c:pt idx="141">
                  <c:v>-19.9776893707958</c:v>
                </c:pt>
                <c:pt idx="142">
                  <c:v>-19.9786012128213</c:v>
                </c:pt>
                <c:pt idx="143">
                  <c:v>-19.9795129494243</c:v>
                </c:pt>
                <c:pt idx="144">
                  <c:v>-19.9804245803938</c:v>
                </c:pt>
                <c:pt idx="145">
                  <c:v>-19.9813361059264</c:v>
                </c:pt>
                <c:pt idx="146">
                  <c:v>-19.9822475258118</c:v>
                </c:pt>
                <c:pt idx="147">
                  <c:v>-19.983158840246</c:v>
                </c:pt>
                <c:pt idx="148">
                  <c:v>-19.9840700490179</c:v>
                </c:pt>
                <c:pt idx="149">
                  <c:v>-19.9849811523245</c:v>
                </c:pt>
                <c:pt idx="150">
                  <c:v>-19.985892150056</c:v>
                </c:pt>
                <c:pt idx="151">
                  <c:v>-19.9868030421045</c:v>
                </c:pt>
                <c:pt idx="152">
                  <c:v>-19.9877138286653</c:v>
                </c:pt>
                <c:pt idx="153">
                  <c:v>-19.9886245095286</c:v>
                </c:pt>
                <c:pt idx="154">
                  <c:v>-19.9895350848902</c:v>
                </c:pt>
                <c:pt idx="155">
                  <c:v>-19.9904455545393</c:v>
                </c:pt>
                <c:pt idx="156">
                  <c:v>-19.9913559186722</c:v>
                </c:pt>
                <c:pt idx="157">
                  <c:v>-19.9922661770789</c:v>
                </c:pt>
                <c:pt idx="158">
                  <c:v>-19.993176329955</c:v>
                </c:pt>
                <c:pt idx="159">
                  <c:v>-19.9940863770899</c:v>
                </c:pt>
                <c:pt idx="160">
                  <c:v>-19.9949963186798</c:v>
                </c:pt>
                <c:pt idx="161">
                  <c:v>-19.9959061545148</c:v>
                </c:pt>
                <c:pt idx="162">
                  <c:v>-19.9968158847904</c:v>
                </c:pt>
                <c:pt idx="163">
                  <c:v>-19.997725509296</c:v>
                </c:pt>
                <c:pt idx="164">
                  <c:v>-19.9986350282279</c:v>
                </c:pt>
                <c:pt idx="165">
                  <c:v>-19.9995444414776</c:v>
                </c:pt>
                <c:pt idx="166">
                  <c:v>-20.0004537489362</c:v>
                </c:pt>
                <c:pt idx="167">
                  <c:v>-20.0013629507994</c:v>
                </c:pt>
                <c:pt idx="168">
                  <c:v>-20.0022720468564</c:v>
                </c:pt>
                <c:pt idx="169">
                  <c:v>-20.0031810373043</c:v>
                </c:pt>
                <c:pt idx="170">
                  <c:v>-20.0040899219324</c:v>
                </c:pt>
                <c:pt idx="171">
                  <c:v>-20.0049987009363</c:v>
                </c:pt>
                <c:pt idx="172">
                  <c:v>-20.0059073741052</c:v>
                </c:pt>
                <c:pt idx="173">
                  <c:v>-20.0068159416364</c:v>
                </c:pt>
                <c:pt idx="174">
                  <c:v>-20.007724403319</c:v>
                </c:pt>
                <c:pt idx="175">
                  <c:v>-20.0086327593486</c:v>
                </c:pt>
                <c:pt idx="176">
                  <c:v>-20.0095410095146</c:v>
                </c:pt>
                <c:pt idx="177">
                  <c:v>-20.010449154014</c:v>
                </c:pt>
                <c:pt idx="178">
                  <c:v>-20.0113571926362</c:v>
                </c:pt>
                <c:pt idx="179">
                  <c:v>-20.0122651255766</c:v>
                </c:pt>
                <c:pt idx="180">
                  <c:v>-20.0131729527264</c:v>
                </c:pt>
                <c:pt idx="181">
                  <c:v>-20.0140806739774</c:v>
                </c:pt>
                <c:pt idx="182">
                  <c:v>-20.0149882895256</c:v>
                </c:pt>
                <c:pt idx="183">
                  <c:v>-20.0158957991606</c:v>
                </c:pt>
                <c:pt idx="184">
                  <c:v>-20.016803203078</c:v>
                </c:pt>
                <c:pt idx="185">
                  <c:v>-20.0177105010671</c:v>
                </c:pt>
                <c:pt idx="186">
                  <c:v>-20.018617693325</c:v>
                </c:pt>
                <c:pt idx="187">
                  <c:v>-20.0195247796411</c:v>
                </c:pt>
                <c:pt idx="188">
                  <c:v>-20.0204317602107</c:v>
                </c:pt>
                <c:pt idx="189">
                  <c:v>-20.0213386348235</c:v>
                </c:pt>
                <c:pt idx="190">
                  <c:v>-20.0222454036763</c:v>
                </c:pt>
                <c:pt idx="191">
                  <c:v>-20.0231520665586</c:v>
                </c:pt>
                <c:pt idx="192">
                  <c:v>-20.0240586236658</c:v>
                </c:pt>
                <c:pt idx="193">
                  <c:v>-20.0249650747874</c:v>
                </c:pt>
                <c:pt idx="194">
                  <c:v>-20.0258714201202</c:v>
                </c:pt>
                <c:pt idx="195">
                  <c:v>-20.0267776595551</c:v>
                </c:pt>
                <c:pt idx="196">
                  <c:v>-20.0276837929838</c:v>
                </c:pt>
                <c:pt idx="197">
                  <c:v>-20.0285898206009</c:v>
                </c:pt>
                <c:pt idx="198">
                  <c:v>-20.0294957421975</c:v>
                </c:pt>
                <c:pt idx="199">
                  <c:v>-20.030401557969</c:v>
                </c:pt>
                <c:pt idx="200">
                  <c:v>-20.0313072677056</c:v>
                </c:pt>
                <c:pt idx="201">
                  <c:v>-20.032212871602</c:v>
                </c:pt>
                <c:pt idx="202">
                  <c:v>-20.0331183694492</c:v>
                </c:pt>
                <c:pt idx="203">
                  <c:v>-20.0340237614425</c:v>
                </c:pt>
                <c:pt idx="204">
                  <c:v>-20.0349290473724</c:v>
                </c:pt>
                <c:pt idx="205">
                  <c:v>-20.0358342274332</c:v>
                </c:pt>
                <c:pt idx="206">
                  <c:v>-20.0367393014167</c:v>
                </c:pt>
                <c:pt idx="207">
                  <c:v>-20.0376442695167</c:v>
                </c:pt>
                <c:pt idx="208">
                  <c:v>-20.0385491315251</c:v>
                </c:pt>
                <c:pt idx="209">
                  <c:v>-20.0394538876357</c:v>
                </c:pt>
                <c:pt idx="210">
                  <c:v>-20.0403585377413</c:v>
                </c:pt>
                <c:pt idx="211">
                  <c:v>-20.0412630817333</c:v>
                </c:pt>
                <c:pt idx="212">
                  <c:v>-20.042167519806</c:v>
                </c:pt>
                <c:pt idx="213">
                  <c:v>-20.0430718517508</c:v>
                </c:pt>
                <c:pt idx="214">
                  <c:v>-20.0439760777628</c:v>
                </c:pt>
                <c:pt idx="215">
                  <c:v>-20.0448801976327</c:v>
                </c:pt>
                <c:pt idx="216">
                  <c:v>-20.0457842115549</c:v>
                </c:pt>
                <c:pt idx="217">
                  <c:v>-20.0466881193199</c:v>
                </c:pt>
                <c:pt idx="218">
                  <c:v>-20.0475919211238</c:v>
                </c:pt>
                <c:pt idx="219">
                  <c:v>-20.0484956167568</c:v>
                </c:pt>
                <c:pt idx="220">
                  <c:v>-20.0493992064136</c:v>
                </c:pt>
                <c:pt idx="221">
                  <c:v>-20.0503026898845</c:v>
                </c:pt>
                <c:pt idx="222">
                  <c:v>-20.0512060673656</c:v>
                </c:pt>
                <c:pt idx="223">
                  <c:v>-20.0521093386473</c:v>
                </c:pt>
                <c:pt idx="224">
                  <c:v>-20.0530125039241</c:v>
                </c:pt>
                <c:pt idx="225">
                  <c:v>-20.0539155630875</c:v>
                </c:pt>
                <c:pt idx="226">
                  <c:v>-20.0548185160301</c:v>
                </c:pt>
                <c:pt idx="227">
                  <c:v>-20.0557213629466</c:v>
                </c:pt>
                <c:pt idx="228">
                  <c:v>-20.056624103628</c:v>
                </c:pt>
                <c:pt idx="229">
                  <c:v>-20.0575267382682</c:v>
                </c:pt>
                <c:pt idx="230">
                  <c:v>-20.058429266659</c:v>
                </c:pt>
                <c:pt idx="231">
                  <c:v>-20.0593316889951</c:v>
                </c:pt>
                <c:pt idx="232">
                  <c:v>-20.0602340050674</c:v>
                </c:pt>
                <c:pt idx="233">
                  <c:v>-20.0611362150699</c:v>
                </c:pt>
                <c:pt idx="234">
                  <c:v>-20.0620383187944</c:v>
                </c:pt>
                <c:pt idx="235">
                  <c:v>-20.0629403164354</c:v>
                </c:pt>
                <c:pt idx="236">
                  <c:v>-20.0638422077842</c:v>
                </c:pt>
                <c:pt idx="237">
                  <c:v>-20.0647439930345</c:v>
                </c:pt>
                <c:pt idx="238">
                  <c:v>-20.0656456719782</c:v>
                </c:pt>
                <c:pt idx="239">
                  <c:v>-20.0665472448098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595165"/>
        <c:axId val="26322208"/>
      </c:lineChart>
      <c:catAx>
        <c:axId val="495951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322208"/>
        <c:crossesAt val="0"/>
        <c:auto val="1"/>
        <c:lblAlgn val="ctr"/>
        <c:lblOffset val="100"/>
        <c:noMultiLvlLbl val="0"/>
      </c:catAx>
      <c:valAx>
        <c:axId val="26322208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595165"/>
        <c:crossesAt val="1"/>
        <c:crossBetween val="midCat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Calibri"/>
              </a:rPr>
              <a:t>Solar Elevation vs. Hour of Day</a:t>
            </a:r>
          </a:p>
        </c:rich>
      </c:tx>
      <c:layout>
        <c:manualLayout>
          <c:xMode val="edge"/>
          <c:yMode val="edge"/>
          <c:x val="0.21261902270587"/>
          <c:y val="0.0919623461259957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633671654285"/>
          <c:y val="0.566980448950036"/>
          <c:w val="0.684315161661609"/>
          <c:h val="0.371614771904417"/>
        </c:manualLayout>
      </c:layout>
      <c:scatterChart>
        <c:scatterStyle val="line"/>
        <c:varyColors val="0"/>
        <c:ser>
          <c:idx val="0"/>
          <c:order val="0"/>
          <c:tx>
            <c:strRef>
              <c:f>Calculations!$AG$1</c:f>
              <c:strCache>
                <c:ptCount val="1"/>
                <c:pt idx="0">
                  <c:v>Solar Elevation corrected for atm refraction (deg)</c:v>
                </c:pt>
              </c:strCache>
            </c:strRef>
          </c:tx>
          <c:spPr>
            <a:solidFill>
              <a:srgbClr val="666699"/>
            </a:solidFill>
            <a:ln w="2556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Calculations!$E$2:$E$241</c:f>
              <c:numCache>
                <c:formatCode>General</c:formatCode>
                <c:ptCount val="240"/>
                <c:pt idx="0">
                  <c:v>0.00416666666666667</c:v>
                </c:pt>
                <c:pt idx="1">
                  <c:v>0.00833333333333333</c:v>
                </c:pt>
                <c:pt idx="2">
                  <c:v>0.0125</c:v>
                </c:pt>
                <c:pt idx="3">
                  <c:v>0.0166666666666667</c:v>
                </c:pt>
                <c:pt idx="4">
                  <c:v>0.0208333333333333</c:v>
                </c:pt>
                <c:pt idx="5">
                  <c:v>0.025</c:v>
                </c:pt>
                <c:pt idx="6">
                  <c:v>0.0291666666666667</c:v>
                </c:pt>
                <c:pt idx="7">
                  <c:v>0.0333333333333333</c:v>
                </c:pt>
                <c:pt idx="8">
                  <c:v>0.0375</c:v>
                </c:pt>
                <c:pt idx="9">
                  <c:v>0.0416666666666667</c:v>
                </c:pt>
                <c:pt idx="10">
                  <c:v>0.0458333333333333</c:v>
                </c:pt>
                <c:pt idx="11">
                  <c:v>0.05</c:v>
                </c:pt>
                <c:pt idx="12">
                  <c:v>0.0541666666666667</c:v>
                </c:pt>
                <c:pt idx="13">
                  <c:v>0.0583333333333333</c:v>
                </c:pt>
                <c:pt idx="14">
                  <c:v>0.0625</c:v>
                </c:pt>
                <c:pt idx="15">
                  <c:v>0.0666666666666667</c:v>
                </c:pt>
                <c:pt idx="16">
                  <c:v>0.0708333333333333</c:v>
                </c:pt>
                <c:pt idx="17">
                  <c:v>0.075</c:v>
                </c:pt>
                <c:pt idx="18">
                  <c:v>0.0791666666666667</c:v>
                </c:pt>
                <c:pt idx="19">
                  <c:v>0.0833333333333333</c:v>
                </c:pt>
                <c:pt idx="20">
                  <c:v>0.0875</c:v>
                </c:pt>
                <c:pt idx="21">
                  <c:v>0.0916666666666667</c:v>
                </c:pt>
                <c:pt idx="22">
                  <c:v>0.0958333333333333</c:v>
                </c:pt>
                <c:pt idx="23">
                  <c:v>0.1</c:v>
                </c:pt>
                <c:pt idx="24">
                  <c:v>0.104166666666667</c:v>
                </c:pt>
                <c:pt idx="25">
                  <c:v>0.108333333333333</c:v>
                </c:pt>
                <c:pt idx="26">
                  <c:v>0.1125</c:v>
                </c:pt>
                <c:pt idx="27">
                  <c:v>0.116666666666667</c:v>
                </c:pt>
                <c:pt idx="28">
                  <c:v>0.120833333333333</c:v>
                </c:pt>
                <c:pt idx="29">
                  <c:v>0.125</c:v>
                </c:pt>
                <c:pt idx="30">
                  <c:v>0.129166666666667</c:v>
                </c:pt>
                <c:pt idx="31">
                  <c:v>0.133333333333333</c:v>
                </c:pt>
                <c:pt idx="32">
                  <c:v>0.1375</c:v>
                </c:pt>
                <c:pt idx="33">
                  <c:v>0.141666666666667</c:v>
                </c:pt>
                <c:pt idx="34">
                  <c:v>0.145833333333333</c:v>
                </c:pt>
                <c:pt idx="35">
                  <c:v>0.15</c:v>
                </c:pt>
                <c:pt idx="36">
                  <c:v>0.154166666666667</c:v>
                </c:pt>
                <c:pt idx="37">
                  <c:v>0.158333333333333</c:v>
                </c:pt>
                <c:pt idx="38">
                  <c:v>0.1625</c:v>
                </c:pt>
                <c:pt idx="39">
                  <c:v>0.166666666666667</c:v>
                </c:pt>
                <c:pt idx="40">
                  <c:v>0.170833333333333</c:v>
                </c:pt>
                <c:pt idx="41">
                  <c:v>0.175</c:v>
                </c:pt>
                <c:pt idx="42">
                  <c:v>0.179166666666667</c:v>
                </c:pt>
                <c:pt idx="43">
                  <c:v>0.183333333333334</c:v>
                </c:pt>
                <c:pt idx="44">
                  <c:v>0.1875</c:v>
                </c:pt>
                <c:pt idx="45">
                  <c:v>0.191666666666667</c:v>
                </c:pt>
                <c:pt idx="46">
                  <c:v>0.195833333333334</c:v>
                </c:pt>
                <c:pt idx="47">
                  <c:v>0.2</c:v>
                </c:pt>
                <c:pt idx="48">
                  <c:v>0.204166666666667</c:v>
                </c:pt>
                <c:pt idx="49">
                  <c:v>0.208333333333334</c:v>
                </c:pt>
                <c:pt idx="50">
                  <c:v>0.2125</c:v>
                </c:pt>
                <c:pt idx="51">
                  <c:v>0.216666666666667</c:v>
                </c:pt>
                <c:pt idx="52">
                  <c:v>0.220833333333334</c:v>
                </c:pt>
                <c:pt idx="53">
                  <c:v>0.225</c:v>
                </c:pt>
                <c:pt idx="54">
                  <c:v>0.229166666666667</c:v>
                </c:pt>
                <c:pt idx="55">
                  <c:v>0.233333333333334</c:v>
                </c:pt>
                <c:pt idx="56">
                  <c:v>0.2375</c:v>
                </c:pt>
                <c:pt idx="57">
                  <c:v>0.241666666666667</c:v>
                </c:pt>
                <c:pt idx="58">
                  <c:v>0.245833333333334</c:v>
                </c:pt>
                <c:pt idx="59">
                  <c:v>0.25</c:v>
                </c:pt>
                <c:pt idx="60">
                  <c:v>0.254166666666667</c:v>
                </c:pt>
                <c:pt idx="61">
                  <c:v>0.258333333333334</c:v>
                </c:pt>
                <c:pt idx="62">
                  <c:v>0.2625</c:v>
                </c:pt>
                <c:pt idx="63">
                  <c:v>0.266666666666667</c:v>
                </c:pt>
                <c:pt idx="64">
                  <c:v>0.270833333333334</c:v>
                </c:pt>
                <c:pt idx="65">
                  <c:v>0.275</c:v>
                </c:pt>
                <c:pt idx="66">
                  <c:v>0.279166666666667</c:v>
                </c:pt>
                <c:pt idx="67">
                  <c:v>0.283333333333334</c:v>
                </c:pt>
                <c:pt idx="68">
                  <c:v>0.2875</c:v>
                </c:pt>
                <c:pt idx="69">
                  <c:v>0.291666666666667</c:v>
                </c:pt>
                <c:pt idx="70">
                  <c:v>0.295833333333334</c:v>
                </c:pt>
                <c:pt idx="71">
                  <c:v>0.3</c:v>
                </c:pt>
                <c:pt idx="72">
                  <c:v>0.304166666666667</c:v>
                </c:pt>
                <c:pt idx="73">
                  <c:v>0.308333333333333</c:v>
                </c:pt>
                <c:pt idx="74">
                  <c:v>0.3125</c:v>
                </c:pt>
                <c:pt idx="75">
                  <c:v>0.316666666666667</c:v>
                </c:pt>
                <c:pt idx="76">
                  <c:v>0.320833333333333</c:v>
                </c:pt>
                <c:pt idx="77">
                  <c:v>0.325</c:v>
                </c:pt>
                <c:pt idx="78">
                  <c:v>0.329166666666667</c:v>
                </c:pt>
                <c:pt idx="79">
                  <c:v>0.333333333333333</c:v>
                </c:pt>
                <c:pt idx="80">
                  <c:v>0.3375</c:v>
                </c:pt>
                <c:pt idx="81">
                  <c:v>0.341666666666667</c:v>
                </c:pt>
                <c:pt idx="82">
                  <c:v>0.345833333333333</c:v>
                </c:pt>
                <c:pt idx="83">
                  <c:v>0.35</c:v>
                </c:pt>
                <c:pt idx="84">
                  <c:v>0.354166666666667</c:v>
                </c:pt>
                <c:pt idx="85">
                  <c:v>0.358333333333333</c:v>
                </c:pt>
                <c:pt idx="86">
                  <c:v>0.3625</c:v>
                </c:pt>
                <c:pt idx="87">
                  <c:v>0.366666666666667</c:v>
                </c:pt>
                <c:pt idx="88">
                  <c:v>0.370833333333333</c:v>
                </c:pt>
                <c:pt idx="89">
                  <c:v>0.375</c:v>
                </c:pt>
                <c:pt idx="90">
                  <c:v>0.379166666666667</c:v>
                </c:pt>
                <c:pt idx="91">
                  <c:v>0.383333333333333</c:v>
                </c:pt>
                <c:pt idx="92">
                  <c:v>0.3875</c:v>
                </c:pt>
                <c:pt idx="93">
                  <c:v>0.391666666666667</c:v>
                </c:pt>
                <c:pt idx="94">
                  <c:v>0.395833333333333</c:v>
                </c:pt>
                <c:pt idx="95">
                  <c:v>0.4</c:v>
                </c:pt>
                <c:pt idx="96">
                  <c:v>0.404166666666666</c:v>
                </c:pt>
                <c:pt idx="97">
                  <c:v>0.408333333333333</c:v>
                </c:pt>
                <c:pt idx="98">
                  <c:v>0.4125</c:v>
                </c:pt>
                <c:pt idx="99">
                  <c:v>0.416666666666666</c:v>
                </c:pt>
                <c:pt idx="100">
                  <c:v>0.420833333333333</c:v>
                </c:pt>
                <c:pt idx="101">
                  <c:v>0.425</c:v>
                </c:pt>
                <c:pt idx="102">
                  <c:v>0.429166666666666</c:v>
                </c:pt>
                <c:pt idx="103">
                  <c:v>0.433333333333333</c:v>
                </c:pt>
                <c:pt idx="104">
                  <c:v>0.4375</c:v>
                </c:pt>
                <c:pt idx="105">
                  <c:v>0.441666666666666</c:v>
                </c:pt>
                <c:pt idx="106">
                  <c:v>0.445833333333333</c:v>
                </c:pt>
                <c:pt idx="107">
                  <c:v>0.45</c:v>
                </c:pt>
                <c:pt idx="108">
                  <c:v>0.454166666666666</c:v>
                </c:pt>
                <c:pt idx="109">
                  <c:v>0.458333333333333</c:v>
                </c:pt>
                <c:pt idx="110">
                  <c:v>0.4625</c:v>
                </c:pt>
                <c:pt idx="111">
                  <c:v>0.466666666666666</c:v>
                </c:pt>
                <c:pt idx="112">
                  <c:v>0.470833333333333</c:v>
                </c:pt>
                <c:pt idx="113">
                  <c:v>0.475</c:v>
                </c:pt>
                <c:pt idx="114">
                  <c:v>0.479166666666666</c:v>
                </c:pt>
                <c:pt idx="115">
                  <c:v>0.483333333333333</c:v>
                </c:pt>
                <c:pt idx="116">
                  <c:v>0.4875</c:v>
                </c:pt>
                <c:pt idx="117">
                  <c:v>0.491666666666666</c:v>
                </c:pt>
                <c:pt idx="118">
                  <c:v>0.495833333333333</c:v>
                </c:pt>
                <c:pt idx="119">
                  <c:v>0.499999999999999</c:v>
                </c:pt>
                <c:pt idx="120">
                  <c:v>0.504166666666666</c:v>
                </c:pt>
                <c:pt idx="121">
                  <c:v>0.508333333333333</c:v>
                </c:pt>
                <c:pt idx="122">
                  <c:v>0.512499999999999</c:v>
                </c:pt>
                <c:pt idx="123">
                  <c:v>0.516666666666666</c:v>
                </c:pt>
                <c:pt idx="124">
                  <c:v>0.520833333333333</c:v>
                </c:pt>
                <c:pt idx="125">
                  <c:v>0.524999999999999</c:v>
                </c:pt>
                <c:pt idx="126">
                  <c:v>0.529166666666666</c:v>
                </c:pt>
                <c:pt idx="127">
                  <c:v>0.533333333333333</c:v>
                </c:pt>
                <c:pt idx="128">
                  <c:v>0.537499999999999</c:v>
                </c:pt>
                <c:pt idx="129">
                  <c:v>0.541666666666666</c:v>
                </c:pt>
                <c:pt idx="130">
                  <c:v>0.545833333333333</c:v>
                </c:pt>
                <c:pt idx="131">
                  <c:v>0.549999999999999</c:v>
                </c:pt>
                <c:pt idx="132">
                  <c:v>0.554166666666666</c:v>
                </c:pt>
                <c:pt idx="133">
                  <c:v>0.558333333333333</c:v>
                </c:pt>
                <c:pt idx="134">
                  <c:v>0.562499999999999</c:v>
                </c:pt>
                <c:pt idx="135">
                  <c:v>0.566666666666666</c:v>
                </c:pt>
                <c:pt idx="136">
                  <c:v>0.570833333333333</c:v>
                </c:pt>
                <c:pt idx="137">
                  <c:v>0.574999999999999</c:v>
                </c:pt>
                <c:pt idx="138">
                  <c:v>0.579166666666666</c:v>
                </c:pt>
                <c:pt idx="139">
                  <c:v>0.583333333333333</c:v>
                </c:pt>
                <c:pt idx="140">
                  <c:v>0.587499999999999</c:v>
                </c:pt>
                <c:pt idx="141">
                  <c:v>0.591666666666666</c:v>
                </c:pt>
                <c:pt idx="142">
                  <c:v>0.595833333333332</c:v>
                </c:pt>
                <c:pt idx="143">
                  <c:v>0.599999999999999</c:v>
                </c:pt>
                <c:pt idx="144">
                  <c:v>0.604166666666666</c:v>
                </c:pt>
                <c:pt idx="145">
                  <c:v>0.608333333333332</c:v>
                </c:pt>
                <c:pt idx="146">
                  <c:v>0.612499999999999</c:v>
                </c:pt>
                <c:pt idx="147">
                  <c:v>0.616666666666666</c:v>
                </c:pt>
                <c:pt idx="148">
                  <c:v>0.620833333333332</c:v>
                </c:pt>
                <c:pt idx="149">
                  <c:v>0.624999999999999</c:v>
                </c:pt>
                <c:pt idx="150">
                  <c:v>0.629166666666666</c:v>
                </c:pt>
                <c:pt idx="151">
                  <c:v>0.633333333333332</c:v>
                </c:pt>
                <c:pt idx="152">
                  <c:v>0.637499999999999</c:v>
                </c:pt>
                <c:pt idx="153">
                  <c:v>0.641666666666666</c:v>
                </c:pt>
                <c:pt idx="154">
                  <c:v>0.645833333333332</c:v>
                </c:pt>
                <c:pt idx="155">
                  <c:v>0.649999999999999</c:v>
                </c:pt>
                <c:pt idx="156">
                  <c:v>0.654166666666666</c:v>
                </c:pt>
                <c:pt idx="157">
                  <c:v>0.658333333333332</c:v>
                </c:pt>
                <c:pt idx="158">
                  <c:v>0.662499999999999</c:v>
                </c:pt>
                <c:pt idx="159">
                  <c:v>0.666666666666666</c:v>
                </c:pt>
                <c:pt idx="160">
                  <c:v>0.670833333333332</c:v>
                </c:pt>
                <c:pt idx="161">
                  <c:v>0.674999999999999</c:v>
                </c:pt>
                <c:pt idx="162">
                  <c:v>0.679166666666666</c:v>
                </c:pt>
                <c:pt idx="163">
                  <c:v>0.683333333333332</c:v>
                </c:pt>
                <c:pt idx="164">
                  <c:v>0.687499999999999</c:v>
                </c:pt>
                <c:pt idx="165">
                  <c:v>0.691666666666665</c:v>
                </c:pt>
                <c:pt idx="166">
                  <c:v>0.695833333333332</c:v>
                </c:pt>
                <c:pt idx="167">
                  <c:v>0.699999999999999</c:v>
                </c:pt>
                <c:pt idx="168">
                  <c:v>0.704166666666665</c:v>
                </c:pt>
                <c:pt idx="169">
                  <c:v>0.708333333333332</c:v>
                </c:pt>
                <c:pt idx="170">
                  <c:v>0.712499999999999</c:v>
                </c:pt>
                <c:pt idx="171">
                  <c:v>0.716666666666665</c:v>
                </c:pt>
                <c:pt idx="172">
                  <c:v>0.720833333333332</c:v>
                </c:pt>
                <c:pt idx="173">
                  <c:v>0.724999999999999</c:v>
                </c:pt>
                <c:pt idx="174">
                  <c:v>0.729166666666665</c:v>
                </c:pt>
                <c:pt idx="175">
                  <c:v>0.733333333333332</c:v>
                </c:pt>
                <c:pt idx="176">
                  <c:v>0.737499999999999</c:v>
                </c:pt>
                <c:pt idx="177">
                  <c:v>0.741666666666665</c:v>
                </c:pt>
                <c:pt idx="178">
                  <c:v>0.745833333333332</c:v>
                </c:pt>
                <c:pt idx="179">
                  <c:v>0.749999999999999</c:v>
                </c:pt>
                <c:pt idx="180">
                  <c:v>0.754166666666665</c:v>
                </c:pt>
                <c:pt idx="181">
                  <c:v>0.758333333333332</c:v>
                </c:pt>
                <c:pt idx="182">
                  <c:v>0.762499999999999</c:v>
                </c:pt>
                <c:pt idx="183">
                  <c:v>0.766666666666665</c:v>
                </c:pt>
                <c:pt idx="184">
                  <c:v>0.770833333333332</c:v>
                </c:pt>
                <c:pt idx="185">
                  <c:v>0.774999999999999</c:v>
                </c:pt>
                <c:pt idx="186">
                  <c:v>0.779166666666665</c:v>
                </c:pt>
                <c:pt idx="187">
                  <c:v>0.783333333333332</c:v>
                </c:pt>
                <c:pt idx="188">
                  <c:v>0.787499999999998</c:v>
                </c:pt>
                <c:pt idx="189">
                  <c:v>0.791666666666665</c:v>
                </c:pt>
                <c:pt idx="190">
                  <c:v>0.795833333333332</c:v>
                </c:pt>
                <c:pt idx="191">
                  <c:v>0.799999999999998</c:v>
                </c:pt>
                <c:pt idx="192">
                  <c:v>0.804166666666665</c:v>
                </c:pt>
                <c:pt idx="193">
                  <c:v>0.808333333333332</c:v>
                </c:pt>
                <c:pt idx="194">
                  <c:v>0.812499999999998</c:v>
                </c:pt>
                <c:pt idx="195">
                  <c:v>0.816666666666665</c:v>
                </c:pt>
                <c:pt idx="196">
                  <c:v>0.820833333333332</c:v>
                </c:pt>
                <c:pt idx="197">
                  <c:v>0.824999999999998</c:v>
                </c:pt>
                <c:pt idx="198">
                  <c:v>0.829166666666665</c:v>
                </c:pt>
                <c:pt idx="199">
                  <c:v>0.833333333333332</c:v>
                </c:pt>
                <c:pt idx="200">
                  <c:v>0.837499999999998</c:v>
                </c:pt>
                <c:pt idx="201">
                  <c:v>0.841666666666665</c:v>
                </c:pt>
                <c:pt idx="202">
                  <c:v>0.845833333333332</c:v>
                </c:pt>
                <c:pt idx="203">
                  <c:v>0.849999999999998</c:v>
                </c:pt>
                <c:pt idx="204">
                  <c:v>0.854166666666665</c:v>
                </c:pt>
                <c:pt idx="205">
                  <c:v>0.858333333333332</c:v>
                </c:pt>
                <c:pt idx="206">
                  <c:v>0.862499999999998</c:v>
                </c:pt>
                <c:pt idx="207">
                  <c:v>0.866666666666665</c:v>
                </c:pt>
                <c:pt idx="208">
                  <c:v>0.870833333333332</c:v>
                </c:pt>
                <c:pt idx="209">
                  <c:v>0.874999999999998</c:v>
                </c:pt>
                <c:pt idx="210">
                  <c:v>0.879166666666665</c:v>
                </c:pt>
                <c:pt idx="211">
                  <c:v>0.883333333333331</c:v>
                </c:pt>
                <c:pt idx="212">
                  <c:v>0.887499999999998</c:v>
                </c:pt>
                <c:pt idx="213">
                  <c:v>0.891666666666665</c:v>
                </c:pt>
                <c:pt idx="214">
                  <c:v>0.895833333333331</c:v>
                </c:pt>
                <c:pt idx="215">
                  <c:v>0.899999999999998</c:v>
                </c:pt>
                <c:pt idx="216">
                  <c:v>0.904166666666665</c:v>
                </c:pt>
                <c:pt idx="217">
                  <c:v>0.908333333333331</c:v>
                </c:pt>
                <c:pt idx="218">
                  <c:v>0.912499999999998</c:v>
                </c:pt>
                <c:pt idx="219">
                  <c:v>0.916666666666665</c:v>
                </c:pt>
                <c:pt idx="220">
                  <c:v>0.920833333333331</c:v>
                </c:pt>
                <c:pt idx="221">
                  <c:v>0.924999999999998</c:v>
                </c:pt>
                <c:pt idx="222">
                  <c:v>0.929166666666665</c:v>
                </c:pt>
                <c:pt idx="223">
                  <c:v>0.933333333333331</c:v>
                </c:pt>
                <c:pt idx="224">
                  <c:v>0.937499999999998</c:v>
                </c:pt>
                <c:pt idx="225">
                  <c:v>0.941666666666665</c:v>
                </c:pt>
                <c:pt idx="226">
                  <c:v>0.945833333333331</c:v>
                </c:pt>
                <c:pt idx="227">
                  <c:v>0.949999999999998</c:v>
                </c:pt>
                <c:pt idx="228">
                  <c:v>0.954166666666665</c:v>
                </c:pt>
                <c:pt idx="229">
                  <c:v>0.958333333333331</c:v>
                </c:pt>
                <c:pt idx="230">
                  <c:v>0.962499999999998</c:v>
                </c:pt>
                <c:pt idx="231">
                  <c:v>0.966666666666665</c:v>
                </c:pt>
                <c:pt idx="232">
                  <c:v>0.970833333333331</c:v>
                </c:pt>
                <c:pt idx="233">
                  <c:v>0.974999999999998</c:v>
                </c:pt>
                <c:pt idx="234">
                  <c:v>0.979166666666664</c:v>
                </c:pt>
                <c:pt idx="235">
                  <c:v>0.983333333333331</c:v>
                </c:pt>
                <c:pt idx="236">
                  <c:v>0.987499999999998</c:v>
                </c:pt>
                <c:pt idx="237">
                  <c:v>0.991666666666664</c:v>
                </c:pt>
                <c:pt idx="238">
                  <c:v>0.995833333333331</c:v>
                </c:pt>
                <c:pt idx="239">
                  <c:v>0.999999999999998</c:v>
                </c:pt>
              </c:numCache>
            </c:numRef>
          </c:xVal>
          <c:yVal>
            <c:numRef>
              <c:f>Calculations!$AG$2:$AG$241</c:f>
              <c:numCache>
                <c:formatCode>General</c:formatCode>
                <c:ptCount val="240"/>
                <c:pt idx="0">
                  <c:v>-45.3639738191272</c:v>
                </c:pt>
                <c:pt idx="1">
                  <c:v>-45.3298869429462</c:v>
                </c:pt>
                <c:pt idx="2">
                  <c:v>-45.2732266348419</c:v>
                </c:pt>
                <c:pt idx="3">
                  <c:v>-45.1941001253924</c:v>
                </c:pt>
                <c:pt idx="4">
                  <c:v>-45.0926559223669</c:v>
                </c:pt>
                <c:pt idx="5">
                  <c:v>-44.9690827264913</c:v>
                </c:pt>
                <c:pt idx="6">
                  <c:v>-44.8236080753451</c:v>
                </c:pt>
                <c:pt idx="7">
                  <c:v>-44.6564967359704</c:v>
                </c:pt>
                <c:pt idx="8">
                  <c:v>-44.4680488772049</c:v>
                </c:pt>
                <c:pt idx="9">
                  <c:v>-44.2585980488572</c:v>
                </c:pt>
                <c:pt idx="10">
                  <c:v>-44.0285090035975</c:v>
                </c:pt>
                <c:pt idx="11">
                  <c:v>-43.778175391738</c:v>
                </c:pt>
                <c:pt idx="12">
                  <c:v>-43.5080173660989</c:v>
                </c:pt>
                <c:pt idx="13">
                  <c:v>-43.2184791267803</c:v>
                </c:pt>
                <c:pt idx="14">
                  <c:v>-42.9100264411658</c:v>
                </c:pt>
                <c:pt idx="15">
                  <c:v>-42.5831441658532</c:v>
                </c:pt>
                <c:pt idx="16">
                  <c:v>-42.2383338007499</c:v>
                </c:pt>
                <c:pt idx="17">
                  <c:v>-41.8761110990451</c:v>
                </c:pt>
                <c:pt idx="18">
                  <c:v>-41.4970037536851</c:v>
                </c:pt>
                <c:pt idx="19">
                  <c:v>-41.1015491815261</c:v>
                </c:pt>
                <c:pt idx="20">
                  <c:v>-40.690292417085</c:v>
                </c:pt>
                <c:pt idx="21">
                  <c:v>-40.2637841313623</c:v>
                </c:pt>
                <c:pt idx="22">
                  <c:v>-39.8225787812956</c:v>
                </c:pt>
                <c:pt idx="23">
                  <c:v>-39.3672328993664</c:v>
                </c:pt>
                <c:pt idx="24">
                  <c:v>-38.8983035234249</c:v>
                </c:pt>
                <c:pt idx="25">
                  <c:v>-38.4163467712578</c:v>
                </c:pt>
                <c:pt idx="26">
                  <c:v>-37.921916555536</c:v>
                </c:pt>
                <c:pt idx="27">
                  <c:v>-37.4155634398102</c:v>
                </c:pt>
                <c:pt idx="28">
                  <c:v>-36.8978336279412</c:v>
                </c:pt>
                <c:pt idx="29">
                  <c:v>-36.3692680849444</c:v>
                </c:pt>
                <c:pt idx="30">
                  <c:v>-35.8304017795976</c:v>
                </c:pt>
                <c:pt idx="31">
                  <c:v>-35.2817630444119</c:v>
                </c:pt>
                <c:pt idx="32">
                  <c:v>-34.7238730443487</c:v>
                </c:pt>
                <c:pt idx="33">
                  <c:v>-34.1572453454131</c:v>
                </c:pt>
                <c:pt idx="34">
                  <c:v>-33.5823855777859</c:v>
                </c:pt>
                <c:pt idx="35">
                  <c:v>-32.9997911822791</c:v>
                </c:pt>
                <c:pt idx="36">
                  <c:v>-32.4099512356531</c:v>
                </c:pt>
                <c:pt idx="37">
                  <c:v>-31.8133463438172</c:v>
                </c:pt>
                <c:pt idx="38">
                  <c:v>-31.2104485989521</c:v>
                </c:pt>
                <c:pt idx="39">
                  <c:v>-30.6017215902048</c:v>
                </c:pt>
                <c:pt idx="40">
                  <c:v>-29.9876204647033</c:v>
                </c:pt>
                <c:pt idx="41">
                  <c:v>-29.3685920293246</c:v>
                </c:pt>
                <c:pt idx="42">
                  <c:v>-28.7450748907711</c:v>
                </c:pt>
                <c:pt idx="43">
                  <c:v>-28.1174996252156</c:v>
                </c:pt>
                <c:pt idx="44">
                  <c:v>-27.4862889758768</c:v>
                </c:pt>
                <c:pt idx="45">
                  <c:v>-26.8518580706959</c:v>
                </c:pt>
                <c:pt idx="46">
                  <c:v>-26.2146146585131</c:v>
                </c:pt>
                <c:pt idx="47">
                  <c:v>-25.5749593588257</c:v>
                </c:pt>
                <c:pt idx="48">
                  <c:v>-24.9332859205467</c:v>
                </c:pt>
                <c:pt idx="49">
                  <c:v>-24.2899814891311</c:v>
                </c:pt>
                <c:pt idx="50">
                  <c:v>-23.6454268758484</c:v>
                </c:pt>
                <c:pt idx="51">
                  <c:v>-22.9999968298012</c:v>
                </c:pt>
                <c:pt idx="52">
                  <c:v>-22.3540603068046</c:v>
                </c:pt>
                <c:pt idx="53">
                  <c:v>-21.707980736072</c:v>
                </c:pt>
                <c:pt idx="54">
                  <c:v>-21.0621162791178</c:v>
                </c:pt>
                <c:pt idx="55">
                  <c:v>-20.4168200820281</c:v>
                </c:pt>
                <c:pt idx="56">
                  <c:v>-19.7724405156193</c:v>
                </c:pt>
                <c:pt idx="57">
                  <c:v>-19.1293214046487</c:v>
                </c:pt>
                <c:pt idx="58">
                  <c:v>-18.4878022404963</c:v>
                </c:pt>
                <c:pt idx="59">
                  <c:v>-17.8482183782469</c:v>
                </c:pt>
                <c:pt idx="60">
                  <c:v>-17.2109012122863</c:v>
                </c:pt>
                <c:pt idx="61">
                  <c:v>-16.5761783299943</c:v>
                </c:pt>
                <c:pt idx="62">
                  <c:v>-15.9443736389744</c:v>
                </c:pt>
                <c:pt idx="63">
                  <c:v>-15.3158074625274</c:v>
                </c:pt>
                <c:pt idx="64">
                  <c:v>-14.6907966007973</c:v>
                </c:pt>
                <c:pt idx="65">
                  <c:v>-14.069654347831</c:v>
                </c:pt>
                <c:pt idx="66">
                  <c:v>-13.4526904596088</c:v>
                </c:pt>
                <c:pt idx="67">
                  <c:v>-12.8402110589353</c:v>
                </c:pt>
                <c:pt idx="68">
                  <c:v>-12.2325184663882</c:v>
                </c:pt>
                <c:pt idx="69">
                  <c:v>-11.6299109350555</c:v>
                </c:pt>
                <c:pt idx="70">
                  <c:v>-11.0326822667851</c:v>
                </c:pt>
                <c:pt idx="71">
                  <c:v>-10.4411212713183</c:v>
                </c:pt>
                <c:pt idx="72">
                  <c:v>-9.85551102240807</c:v>
                </c:pt>
                <c:pt idx="73">
                  <c:v>-9.27612783761207</c:v>
                </c:pt>
                <c:pt idx="74">
                  <c:v>-8.70323988410729</c:v>
                </c:pt>
                <c:pt idx="75">
                  <c:v>-8.13710525857495</c:v>
                </c:pt>
                <c:pt idx="76">
                  <c:v>-7.57796932046919</c:v>
                </c:pt>
                <c:pt idx="77">
                  <c:v>-7.02606093451757</c:v>
                </c:pt>
                <c:pt idx="78">
                  <c:v>-6.4815870809612</c:v>
                </c:pt>
                <c:pt idx="79">
                  <c:v>-5.94472496063194</c:v>
                </c:pt>
                <c:pt idx="80">
                  <c:v>-5.41561012737487</c:v>
                </c:pt>
                <c:pt idx="81">
                  <c:v>-4.8943181120565</c:v>
                </c:pt>
                <c:pt idx="82">
                  <c:v>-4.38083494294018</c:v>
                </c:pt>
                <c:pt idx="83">
                  <c:v>-3.87500784451854</c:v>
                </c:pt>
                <c:pt idx="84">
                  <c:v>-3.37645855331511</c:v>
                </c:pt>
                <c:pt idx="85">
                  <c:v>-2.88442132535481</c:v>
                </c:pt>
                <c:pt idx="86">
                  <c:v>-2.39741623458963</c:v>
                </c:pt>
                <c:pt idx="87">
                  <c:v>-1.91252227790824</c:v>
                </c:pt>
                <c:pt idx="88">
                  <c:v>-1.4235311793827</c:v>
                </c:pt>
                <c:pt idx="89">
                  <c:v>-0.915275944528941</c:v>
                </c:pt>
                <c:pt idx="90">
                  <c:v>-0.340007408054039</c:v>
                </c:pt>
                <c:pt idx="91">
                  <c:v>0.179108081761187</c:v>
                </c:pt>
                <c:pt idx="92">
                  <c:v>0.517261122646601</c:v>
                </c:pt>
                <c:pt idx="93">
                  <c:v>0.853808523876244</c:v>
                </c:pt>
                <c:pt idx="94">
                  <c:v>1.18660797738602</c:v>
                </c:pt>
                <c:pt idx="95">
                  <c:v>1.51383404011167</c:v>
                </c:pt>
                <c:pt idx="96">
                  <c:v>1.83393931593657</c:v>
                </c:pt>
                <c:pt idx="97">
                  <c:v>2.14561825785966</c:v>
                </c:pt>
                <c:pt idx="98">
                  <c:v>2.44777372479099</c:v>
                </c:pt>
                <c:pt idx="99">
                  <c:v>2.73948639225482</c:v>
                </c:pt>
                <c:pt idx="100">
                  <c:v>3.01998706882573</c:v>
                </c:pt>
                <c:pt idx="101">
                  <c:v>3.2886319358767</c:v>
                </c:pt>
                <c:pt idx="102">
                  <c:v>3.54488068242513</c:v>
                </c:pt>
                <c:pt idx="103">
                  <c:v>3.78827747557344</c:v>
                </c:pt>
                <c:pt idx="104">
                  <c:v>4.01843466513664</c:v>
                </c:pt>
                <c:pt idx="105">
                  <c:v>4.23501909476946</c:v>
                </c:pt>
                <c:pt idx="106">
                  <c:v>4.43774085688434</c:v>
                </c:pt>
                <c:pt idx="107">
                  <c:v>4.62634430666368</c:v>
                </c:pt>
                <c:pt idx="108">
                  <c:v>4.80060112916707</c:v>
                </c:pt>
                <c:pt idx="109">
                  <c:v>4.96030523326408</c:v>
                </c:pt>
                <c:pt idx="110">
                  <c:v>5.1052692400251</c:v>
                </c:pt>
                <c:pt idx="111">
                  <c:v>5.23579895938316</c:v>
                </c:pt>
                <c:pt idx="112">
                  <c:v>5.3507407858631</c:v>
                </c:pt>
                <c:pt idx="113">
                  <c:v>5.45042938794284</c:v>
                </c:pt>
                <c:pt idx="114">
                  <c:v>5.53475856064127</c:v>
                </c:pt>
                <c:pt idx="115">
                  <c:v>5.60363957986948</c:v>
                </c:pt>
                <c:pt idx="116">
                  <c:v>5.65700062018439</c:v>
                </c:pt>
                <c:pt idx="117">
                  <c:v>5.69478636270213</c:v>
                </c:pt>
                <c:pt idx="118">
                  <c:v>5.71695773455132</c:v>
                </c:pt>
                <c:pt idx="119">
                  <c:v>5.7234917416645</c:v>
                </c:pt>
                <c:pt idx="120">
                  <c:v>5.71438137840233</c:v>
                </c:pt>
                <c:pt idx="121">
                  <c:v>5.68963560158678</c:v>
                </c:pt>
                <c:pt idx="122">
                  <c:v>5.64927936725739</c:v>
                </c:pt>
                <c:pt idx="123">
                  <c:v>5.59335373495787</c:v>
                </c:pt>
                <c:pt idx="124">
                  <c:v>5.52191604837618</c:v>
                </c:pt>
                <c:pt idx="125">
                  <c:v>5.43504021710533</c:v>
                </c:pt>
                <c:pt idx="126">
                  <c:v>5.33281713481461</c:v>
                </c:pt>
                <c:pt idx="127">
                  <c:v>5.21535530515741</c:v>
                </c:pt>
                <c:pt idx="128">
                  <c:v>5.08233228538938</c:v>
                </c:pt>
                <c:pt idx="129">
                  <c:v>4.93489781609688</c:v>
                </c:pt>
                <c:pt idx="130">
                  <c:v>4.77274630741382</c:v>
                </c:pt>
                <c:pt idx="131">
                  <c:v>4.59606743448732</c:v>
                </c:pt>
                <c:pt idx="132">
                  <c:v>4.405070082149</c:v>
                </c:pt>
                <c:pt idx="133">
                  <c:v>4.19998611087723</c:v>
                </c:pt>
                <c:pt idx="134">
                  <c:v>3.98107575669462</c:v>
                </c:pt>
                <c:pt idx="135">
                  <c:v>3.74863490277942</c:v>
                </c:pt>
                <c:pt idx="136">
                  <c:v>3.50300444280273</c:v>
                </c:pt>
                <c:pt idx="137">
                  <c:v>3.24458194190987</c:v>
                </c:pt>
                <c:pt idx="138">
                  <c:v>2.97383577928702</c:v>
                </c:pt>
                <c:pt idx="139">
                  <c:v>2.69132192695405</c:v>
                </c:pt>
                <c:pt idx="140">
                  <c:v>2.39770349467144</c:v>
                </c:pt>
                <c:pt idx="141">
                  <c:v>2.09377313207384</c:v>
                </c:pt>
                <c:pt idx="142">
                  <c:v>1.78047834904859</c:v>
                </c:pt>
                <c:pt idx="143">
                  <c:v>1.45894977172422</c:v>
                </c:pt>
                <c:pt idx="144">
                  <c:v>1.13053231740004</c:v>
                </c:pt>
                <c:pt idx="145">
                  <c:v>0.796819225543559</c:v>
                </c:pt>
                <c:pt idx="146">
                  <c:v>0.459688846130346</c:v>
                </c:pt>
                <c:pt idx="147">
                  <c:v>0.121344040008825</c:v>
                </c:pt>
                <c:pt idx="148">
                  <c:v>-0.448248880537466</c:v>
                </c:pt>
                <c:pt idx="149">
                  <c:v>-1.00527170014396</c:v>
                </c:pt>
                <c:pt idx="150">
                  <c:v>-1.50858910111837</c:v>
                </c:pt>
                <c:pt idx="151">
                  <c:v>-1.99644046531298</c:v>
                </c:pt>
                <c:pt idx="152">
                  <c:v>-2.48166918244896</c:v>
                </c:pt>
                <c:pt idx="153">
                  <c:v>-2.96969137008701</c:v>
                </c:pt>
                <c:pt idx="154">
                  <c:v>-3.46309821697434</c:v>
                </c:pt>
                <c:pt idx="155">
                  <c:v>-3.96321251911018</c:v>
                </c:pt>
                <c:pt idx="156">
                  <c:v>-4.47071752000232</c:v>
                </c:pt>
                <c:pt idx="157">
                  <c:v>-4.98594488158233</c:v>
                </c:pt>
                <c:pt idx="158">
                  <c:v>-5.50901953253892</c:v>
                </c:pt>
                <c:pt idx="159">
                  <c:v>-6.03993805962441</c:v>
                </c:pt>
                <c:pt idx="160">
                  <c:v>-6.57861370751259</c:v>
                </c:pt>
                <c:pt idx="161">
                  <c:v>-7.12490349082891</c:v>
                </c:pt>
                <c:pt idx="162">
                  <c:v>-7.67862520602781</c:v>
                </c:pt>
                <c:pt idx="163">
                  <c:v>-8.23956847605892</c:v>
                </c:pt>
                <c:pt idx="164">
                  <c:v>-8.80750213483428</c:v>
                </c:pt>
                <c:pt idx="165">
                  <c:v>-9.38217928644459</c:v>
                </c:pt>
                <c:pt idx="166">
                  <c:v>-9.96334084556595</c:v>
                </c:pt>
                <c:pt idx="167">
                  <c:v>-10.5507180572272</c:v>
                </c:pt>
                <c:pt idx="168">
                  <c:v>-11.1440343133318</c:v>
                </c:pt>
                <c:pt idx="169">
                  <c:v>-11.7430064759201</c:v>
                </c:pt>
                <c:pt idx="170">
                  <c:v>-12.3473458435982</c:v>
                </c:pt>
                <c:pt idx="171">
                  <c:v>-12.9567588584425</c:v>
                </c:pt>
                <c:pt idx="172">
                  <c:v>-13.5709476165755</c:v>
                </c:pt>
                <c:pt idx="173">
                  <c:v>-14.1896102314306</c:v>
                </c:pt>
                <c:pt idx="174">
                  <c:v>-14.8124410804899</c:v>
                </c:pt>
                <c:pt idx="175">
                  <c:v>-15.4391309623375</c:v>
                </c:pt>
                <c:pt idx="176">
                  <c:v>-16.0693671794527</c:v>
                </c:pt>
                <c:pt idx="177">
                  <c:v>-16.702833562747</c:v>
                </c:pt>
                <c:pt idx="178">
                  <c:v>-17.3392104455799</c:v>
                </c:pt>
                <c:pt idx="179">
                  <c:v>-17.9781745977039</c:v>
                </c:pt>
                <c:pt idx="180">
                  <c:v>-18.6193991229389</c:v>
                </c:pt>
                <c:pt idx="181">
                  <c:v>-19.2625533275195</c:v>
                </c:pt>
                <c:pt idx="182">
                  <c:v>-19.907302562401</c:v>
                </c:pt>
                <c:pt idx="183">
                  <c:v>-20.5533080421598</c:v>
                </c:pt>
                <c:pt idx="184">
                  <c:v>-21.2002266453386</c:v>
                </c:pt>
                <c:pt idx="185">
                  <c:v>-21.8477106964122</c:v>
                </c:pt>
                <c:pt idx="186">
                  <c:v>-22.495407734188</c:v>
                </c:pt>
                <c:pt idx="187">
                  <c:v>-23.1429602663579</c:v>
                </c:pt>
                <c:pt idx="188">
                  <c:v>-23.7900055148006</c:v>
                </c:pt>
                <c:pt idx="189">
                  <c:v>-24.4361751512652</c:v>
                </c:pt>
                <c:pt idx="190">
                  <c:v>-25.0810950280561</c:v>
                </c:pt>
                <c:pt idx="191">
                  <c:v>-25.7243849034759</c:v>
                </c:pt>
                <c:pt idx="192">
                  <c:v>-26.3656581668643</c:v>
                </c:pt>
                <c:pt idx="193">
                  <c:v>-27.0045215632812</c:v>
                </c:pt>
                <c:pt idx="194">
                  <c:v>-27.6405749230431</c:v>
                </c:pt>
                <c:pt idx="195">
                  <c:v>-28.2734108966704</c:v>
                </c:pt>
                <c:pt idx="196">
                  <c:v>-28.9026147004324</c:v>
                </c:pt>
                <c:pt idx="197">
                  <c:v>-29.5277638752463</c:v>
                </c:pt>
                <c:pt idx="198">
                  <c:v>-30.1484280620232</c:v>
                </c:pt>
                <c:pt idx="199">
                  <c:v>-30.7641687996361</c:v>
                </c:pt>
                <c:pt idx="200">
                  <c:v>-31.3745393476958</c:v>
                </c:pt>
                <c:pt idx="201">
                  <c:v>-31.9790845416537</c:v>
                </c:pt>
                <c:pt idx="202">
                  <c:v>-32.5773406831348</c:v>
                </c:pt>
                <c:pt idx="203">
                  <c:v>-33.1688354738728</c:v>
                </c:pt>
                <c:pt idx="204">
                  <c:v>-33.7530879969792</c:v>
                </c:pt>
                <c:pt idx="205">
                  <c:v>-34.3296087547728</c:v>
                </c:pt>
                <c:pt idx="206">
                  <c:v>-34.8978997676817</c:v>
                </c:pt>
                <c:pt idx="207">
                  <c:v>-35.4574547442065</c:v>
                </c:pt>
                <c:pt idx="208">
                  <c:v>-36.0077593270955</c:v>
                </c:pt>
                <c:pt idx="209">
                  <c:v>-36.5482914262736</c:v>
                </c:pt>
                <c:pt idx="210">
                  <c:v>-37.0785216441076</c:v>
                </c:pt>
                <c:pt idx="211">
                  <c:v>-37.5979138031563</c:v>
                </c:pt>
                <c:pt idx="212">
                  <c:v>-38.1059255836186</c:v>
                </c:pt>
                <c:pt idx="213">
                  <c:v>-38.6020092773521</c:v>
                </c:pt>
                <c:pt idx="214">
                  <c:v>-39.0856126678151</c:v>
                </c:pt>
                <c:pt idx="215">
                  <c:v>-39.5561800398903</c:v>
                </c:pt>
                <c:pt idx="216">
                  <c:v>-40.013153327924</c:v>
                </c:pt>
                <c:pt idx="217">
                  <c:v>-40.4559734036765</c:v>
                </c:pt>
                <c:pt idx="218">
                  <c:v>-40.8840815098629</c:v>
                </c:pt>
                <c:pt idx="219">
                  <c:v>-41.296920837651</c:v>
                </c:pt>
                <c:pt idx="220">
                  <c:v>-41.6939382499587</c:v>
                </c:pt>
                <c:pt idx="221">
                  <c:v>-42.0745861443894</c:v>
                </c:pt>
                <c:pt idx="222">
                  <c:v>-42.4383244526149</c:v>
                </c:pt>
                <c:pt idx="223">
                  <c:v>-42.7846227644066</c:v>
                </c:pt>
                <c:pt idx="224">
                  <c:v>-43.1129625671216</c:v>
                </c:pt>
                <c:pt idx="225">
                  <c:v>-43.4228395825039</c:v>
                </c:pt>
                <c:pt idx="226">
                  <c:v>-43.7137661844011</c:v>
                </c:pt>
                <c:pt idx="227">
                  <c:v>-43.9852738745459</c:v>
                </c:pt>
                <c:pt idx="228">
                  <c:v>-44.2369157903534</c:v>
                </c:pt>
                <c:pt idx="229">
                  <c:v>-44.4682692190728</c:v>
                </c:pt>
                <c:pt idx="230">
                  <c:v>-44.6789380848944</c:v>
                </c:pt>
                <c:pt idx="231">
                  <c:v>-44.8685553795321</c:v>
                </c:pt>
                <c:pt idx="232">
                  <c:v>-45.0367854994017</c:v>
                </c:pt>
                <c:pt idx="233">
                  <c:v>-45.1833264579732</c:v>
                </c:pt>
                <c:pt idx="234">
                  <c:v>-45.3079119359566</c:v>
                </c:pt>
                <c:pt idx="235">
                  <c:v>-45.4103131392275</c:v>
                </c:pt>
                <c:pt idx="236">
                  <c:v>-45.4903404302041</c:v>
                </c:pt>
                <c:pt idx="237">
                  <c:v>-45.547844707537</c:v>
                </c:pt>
                <c:pt idx="238">
                  <c:v>-45.5827185064538</c:v>
                </c:pt>
                <c:pt idx="239">
                  <c:v>-45.5948968029465</c:v>
                </c:pt>
              </c:numCache>
            </c:numRef>
          </c:yVal>
          <c:smooth val="1"/>
        </c:ser>
        <c:axId val="42652407"/>
        <c:axId val="94123351"/>
      </c:scatterChart>
      <c:valAx>
        <c:axId val="42652407"/>
        <c:scaling>
          <c:orientation val="minMax"/>
          <c:max val="1"/>
          <c:min val="0"/>
        </c:scaling>
        <c:delete val="0"/>
        <c:axPos val="b"/>
        <c:numFmt formatCode="h:mm:ss;@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123351"/>
        <c:crossesAt val="0"/>
        <c:crossBetween val="midCat"/>
        <c:majorUnit val="0.25"/>
      </c:valAx>
      <c:valAx>
        <c:axId val="94123351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652407"/>
        <c:crossesAt val="0"/>
        <c:crossBetween val="midCat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2</xdr:col>
      <xdr:colOff>1268280</xdr:colOff>
      <xdr:row>20</xdr:row>
      <xdr:rowOff>190440</xdr:rowOff>
    </xdr:to>
    <xdr:graphicFrame>
      <xdr:nvGraphicFramePr>
        <xdr:cNvPr id="0" name="Chart 1"/>
        <xdr:cNvGraphicFramePr/>
      </xdr:nvGraphicFramePr>
      <xdr:xfrm>
        <a:off x="0" y="2666880"/>
        <a:ext cx="3440160" cy="247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2</xdr:col>
      <xdr:colOff>1268280</xdr:colOff>
      <xdr:row>33</xdr:row>
      <xdr:rowOff>190080</xdr:rowOff>
    </xdr:to>
    <xdr:graphicFrame>
      <xdr:nvGraphicFramePr>
        <xdr:cNvPr id="1" name="Chart 2"/>
        <xdr:cNvGraphicFramePr/>
      </xdr:nvGraphicFramePr>
      <xdr:xfrm>
        <a:off x="0" y="5143680"/>
        <a:ext cx="344016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2</xdr:col>
      <xdr:colOff>1268280</xdr:colOff>
      <xdr:row>47</xdr:row>
      <xdr:rowOff>9000</xdr:rowOff>
    </xdr:to>
    <xdr:graphicFrame>
      <xdr:nvGraphicFramePr>
        <xdr:cNvPr id="2" name="Chart 3"/>
        <xdr:cNvGraphicFramePr/>
      </xdr:nvGraphicFramePr>
      <xdr:xfrm>
        <a:off x="0" y="7620120"/>
        <a:ext cx="3440160" cy="24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3" activeCellId="0" sqref="13: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0.71"/>
    <col collapsed="false" customWidth="true" hidden="false" outlineLevel="0" max="3" min="3" style="0" width="15.86"/>
    <col collapsed="false" customWidth="true" hidden="false" outlineLevel="0" max="4" min="4" style="0" width="11.68"/>
    <col collapsed="false" customWidth="true" hidden="false" outlineLevel="0" max="5" min="5" style="0" width="10"/>
    <col collapsed="false" customWidth="true" hidden="false" outlineLevel="0" max="6" min="6" style="1" width="21"/>
    <col collapsed="false" customWidth="true" hidden="false" outlineLevel="0" max="7" min="7" style="0" width="12.14"/>
    <col collapsed="false" customWidth="true" hidden="false" outlineLevel="0" max="8" min="8" style="0" width="2.57"/>
    <col collapsed="false" customWidth="true" hidden="false" outlineLevel="0" max="9" min="9" style="0" width="12.57"/>
    <col collapsed="false" customWidth="true" hidden="false" outlineLevel="0" max="11" min="11" style="0" width="19.72"/>
    <col collapsed="false" customWidth="true" hidden="false" outlineLevel="0" max="12" min="12" style="0" width="18.14"/>
    <col collapsed="false" customWidth="true" hidden="false" outlineLevel="0" max="22" min="22" style="0" width="10"/>
    <col collapsed="false" customWidth="true" hidden="false" outlineLevel="0" max="27" min="27" style="0" width="9.86"/>
  </cols>
  <sheetData>
    <row r="1" customFormat="false" ht="105" hidden="false" customHeight="true" outlineLevel="0" collapsed="false">
      <c r="A1" s="2" t="s">
        <v>0</v>
      </c>
      <c r="B1" s="2"/>
      <c r="C1" s="2"/>
      <c r="D1" s="3" t="s">
        <v>1</v>
      </c>
      <c r="E1" s="3" t="s">
        <v>2</v>
      </c>
      <c r="F1" s="4" t="s">
        <v>3</v>
      </c>
      <c r="G1" s="3" t="s">
        <v>4</v>
      </c>
      <c r="H1" s="3"/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</row>
    <row r="2" customFormat="false" ht="15" hidden="false" customHeight="false" outlineLevel="0" collapsed="false">
      <c r="A2" s="5"/>
      <c r="B2" s="5"/>
      <c r="D2" s="6" t="n">
        <f aca="false">$B$7</f>
        <v>44886</v>
      </c>
      <c r="E2" s="7" t="n">
        <f aca="false">0.1/24</f>
        <v>0.00416666666666667</v>
      </c>
      <c r="F2" s="8" t="n">
        <f aca="false">D2+2415018.5+E2-$B$5/24</f>
        <v>2459904.4625</v>
      </c>
      <c r="G2" s="9" t="n">
        <f aca="false">(F2-2451545)/36525</f>
        <v>0.228869609856273</v>
      </c>
      <c r="I2" s="0" t="n">
        <f aca="false">MOD(280.46646+G2*(36000.76983+G2*0.0003032),360)</f>
        <v>239.948621399593</v>
      </c>
      <c r="J2" s="0" t="n">
        <f aca="false">357.52911+G2*(35999.05029-0.0001537*G2)</f>
        <v>8596.61769701765</v>
      </c>
      <c r="K2" s="0" t="n">
        <f aca="false">0.016708634-G2*(0.000042037+0.0000001267*G2)</f>
        <v>0.0166990063715</v>
      </c>
      <c r="L2" s="0" t="n">
        <f aca="false">SIN(RADIANS(J2))*(1.914602-G2*(0.004817+0.000014*G2))+SIN(RADIANS(2*J2))*(0.019993-0.000101*G2)+SIN(RADIANS(3*J2))*0.000289</f>
        <v>-1.3344706061076</v>
      </c>
      <c r="M2" s="0" t="n">
        <f aca="false">I2+L2</f>
        <v>238.614150793486</v>
      </c>
      <c r="N2" s="0" t="n">
        <f aca="false">J2+L2</f>
        <v>8595.28322641154</v>
      </c>
      <c r="O2" s="0" t="n">
        <f aca="false">(1.000001018*(1-K2*K2))/(1+K2*COS(RADIANS(N2)))</f>
        <v>0.987998368981183</v>
      </c>
      <c r="P2" s="0" t="n">
        <f aca="false">M2-0.00569-0.00478*SIN(RADIANS(125.04-1934.136*G2))</f>
        <v>238.605239165578</v>
      </c>
      <c r="Q2" s="0" t="n">
        <f aca="false">23+(26+((21.448-G2*(46.815+G2*(0.00059-G2*0.001813))))/60)/60</f>
        <v>23.4363148500124</v>
      </c>
      <c r="R2" s="0" t="n">
        <f aca="false">Q2+0.00256*COS(RADIANS(125.04-1934.136*G2))</f>
        <v>23.4382060472538</v>
      </c>
      <c r="S2" s="0" t="n">
        <f aca="false">DEGREES(ATAN2(COS(RADIANS(P2)),COS(RADIANS(R2))*SIN(RADIANS(P2))))</f>
        <v>-123.630250117539</v>
      </c>
      <c r="T2" s="0" t="n">
        <f aca="false">DEGREES(ASIN(SIN(RADIANS(R2))*SIN(RADIANS(P2))))</f>
        <v>-19.848066678262</v>
      </c>
      <c r="U2" s="0" t="n">
        <f aca="false">TAN(RADIANS(R2/2))*TAN(RADIANS(R2/2))</f>
        <v>0.0430304316813673</v>
      </c>
      <c r="V2" s="0" t="n">
        <f aca="false">4*DEGREES(U2*SIN(2*RADIANS(I2))-2*K2*SIN(RADIANS(J2))+4*K2*U2*SIN(RADIANS(J2))*COS(2*RADIANS(I2))-0.5*U2*U2*SIN(4*RADIANS(I2))-1.25*K2*K2*SIN(2*RADIANS(J2)))</f>
        <v>14.2955268571985</v>
      </c>
      <c r="W2" s="0" t="n">
        <f aca="false">DEGREES(ACOS(COS(RADIANS(90.833))/(COS(RADIANS($B$3))*COS(RADIANS(T2)))-TAN(RADIANS($B$3))*TAN(RADIANS(T2))))</f>
        <v>43.963862896823</v>
      </c>
      <c r="X2" s="7" t="n">
        <f aca="false">(720-4*$B$4-V2+$B$5*60)/1440</f>
        <v>0.499808661904723</v>
      </c>
      <c r="Y2" s="7" t="n">
        <f aca="false">X2-W2*4/1440</f>
        <v>0.377686820524659</v>
      </c>
      <c r="Z2" s="7" t="n">
        <f aca="false">X2+W2*4/1440</f>
        <v>0.621930503284787</v>
      </c>
      <c r="AA2" s="10" t="n">
        <f aca="false">8*W2</f>
        <v>351.710903174584</v>
      </c>
      <c r="AB2" s="0" t="n">
        <f aca="false">MOD(E2*1440+V2+4*$B$4-60*$B$5,1440)</f>
        <v>6.27552685719851</v>
      </c>
      <c r="AC2" s="0" t="n">
        <f aca="false">IF(AB2/4&lt;0,AB2/4+180,AB2/4-180)</f>
        <v>-178.4311182857</v>
      </c>
      <c r="AD2" s="0" t="n">
        <f aca="false">DEGREES(ACOS(SIN(RADIANS($B$3))*SIN(RADIANS(T2))+COS(RADIANS($B$3))*COS(RADIANS(T2))*COS(RADIANS(AC2))))</f>
        <v>135.369669839841</v>
      </c>
      <c r="AE2" s="0" t="n">
        <f aca="false">90-AD2</f>
        <v>-45.3696698398413</v>
      </c>
      <c r="AF2" s="0" t="n">
        <f aca="false">IF(AE2&gt;85,0,IF(AE2&gt;5,58.1/TAN(RADIANS(AE2))-0.07/POWER(TAN(RADIANS(AE2)),3)+0.000086/POWER(TAN(RADIANS(AE2)),5),IF(AE2&gt;-0.575,1735+AE2*(-518.2+AE2*(103.4+AE2*(-12.79+AE2*0.711))),-20.772/TAN(RADIANS(AE2)))))/3600</f>
        <v>0.00569602071403866</v>
      </c>
      <c r="AG2" s="0" t="n">
        <f aca="false">AE2+AF2</f>
        <v>-45.3639738191272</v>
      </c>
      <c r="AH2" s="0" t="n">
        <f aca="false">IF(AC2&gt;0,MOD(DEGREES(ACOS(((SIN(RADIANS($B$3))*COS(RADIANS(AD2)))-SIN(RADIANS(T2)))/(COS(RADIANS($B$3))*SIN(RADIANS(AD2)))))+180,360),MOD(540-DEGREES(ACOS(((SIN(RADIANS($B$3))*COS(RADIANS(AD2)))-SIN(RADIANS(T2)))/(COS(RADIANS($B$3))*SIN(RADIANS(AD2))))),360))</f>
        <v>2.1007370257056</v>
      </c>
    </row>
    <row r="3" customFormat="false" ht="15" hidden="false" customHeight="false" outlineLevel="0" collapsed="false">
      <c r="A3" s="0" t="s">
        <v>31</v>
      </c>
      <c r="B3" s="11" t="n">
        <v>64.466</v>
      </c>
      <c r="D3" s="6" t="n">
        <f aca="false">$B$7</f>
        <v>44886</v>
      </c>
      <c r="E3" s="7" t="n">
        <f aca="false">E2+0.1/24</f>
        <v>0.00833333333333333</v>
      </c>
      <c r="F3" s="8" t="n">
        <f aca="false">D3+2415018.5+E3-$B$5/24</f>
        <v>2459904.46666667</v>
      </c>
      <c r="G3" s="9" t="n">
        <f aca="false">(F3-2451545)/36525</f>
        <v>0.228869723933382</v>
      </c>
      <c r="I3" s="0" t="n">
        <f aca="false">MOD(280.46646+G3*(36000.76983+G3*0.0003032),360)</f>
        <v>239.952728263366</v>
      </c>
      <c r="J3" s="0" t="n">
        <f aca="false">357.52911+G3*(35999.05029-0.0001537*G3)</f>
        <v>8596.62180368524</v>
      </c>
      <c r="K3" s="0" t="n">
        <f aca="false">0.016708634-G3*(0.000042037+0.0000001267*G3)</f>
        <v>0.0166990063666979</v>
      </c>
      <c r="L3" s="0" t="n">
        <f aca="false">SIN(RADIANS(J3))*(1.914602-G3*(0.004817+0.000014*G3))+SIN(RADIANS(2*J3))*(0.019993-0.000101*G3)+SIN(RADIANS(3*J3))*0.000289</f>
        <v>-1.33437080197675</v>
      </c>
      <c r="M3" s="0" t="n">
        <f aca="false">I3+L3</f>
        <v>238.618357461389</v>
      </c>
      <c r="N3" s="0" t="n">
        <f aca="false">J3+L3</f>
        <v>8595.28743288326</v>
      </c>
      <c r="O3" s="0" t="n">
        <f aca="false">(1.000001018*(1-K3*K3))/(1+K3*COS(RADIANS(N3)))</f>
        <v>0.987997526755711</v>
      </c>
      <c r="P3" s="0" t="n">
        <f aca="false">M3-0.00569-0.00478*SIN(RADIANS(125.04-1934.136*G3))</f>
        <v>238.60944584708</v>
      </c>
      <c r="Q3" s="0" t="n">
        <f aca="false">23+(26+((21.448-G3*(46.815+G3*(0.00059-G3*0.001813))))/60)/60</f>
        <v>23.436314848529</v>
      </c>
      <c r="R3" s="0" t="n">
        <f aca="false">Q3+0.00256*COS(RADIANS(125.04-1934.136*G3))</f>
        <v>23.4382060524147</v>
      </c>
      <c r="S3" s="0" t="n">
        <f aca="false">DEGREES(ATAN2(COS(RADIANS(P3)),COS(RADIANS(R3))*SIN(RADIANS(P3))))</f>
        <v>-123.62588760474</v>
      </c>
      <c r="T3" s="0" t="n">
        <f aca="false">DEGREES(ASIN(SIN(RADIANS(R3))*SIN(RADIANS(P3))))</f>
        <v>-19.8489933269024</v>
      </c>
      <c r="U3" s="0" t="n">
        <f aca="false">TAN(RADIANS(R3/2))*TAN(RADIANS(R3/2))</f>
        <v>0.0430304317008559</v>
      </c>
      <c r="V3" s="0" t="n">
        <f aca="false">4*DEGREES(U3*SIN(2*RADIANS(I3))-2*K3*SIN(RADIANS(J3))+4*K3*U3*SIN(RADIANS(J3))*COS(2*RADIANS(I3))-0.5*U3*U3*SIN(4*RADIANS(I3))-1.25*K3*K3*SIN(2*RADIANS(J3)))</f>
        <v>14.2944924176041</v>
      </c>
      <c r="W3" s="0" t="n">
        <f aca="false">DEGREES(ACOS(COS(RADIANS(90.833))/(COS(RADIANS($B$3))*COS(RADIANS(T3)))-TAN(RADIANS($B$3))*TAN(RADIANS(T3))))</f>
        <v>43.960721703377</v>
      </c>
      <c r="X3" s="7" t="n">
        <f aca="false">(720-4*$B$4-V3+$B$5*60)/1440</f>
        <v>0.499809380265553</v>
      </c>
      <c r="Y3" s="7" t="n">
        <f aca="false">X3-W3*4/1440</f>
        <v>0.377696264422839</v>
      </c>
      <c r="Z3" s="7" t="n">
        <f aca="false">X3+W3*4/1440</f>
        <v>0.621922496108267</v>
      </c>
      <c r="AA3" s="10" t="n">
        <f aca="false">8*W3</f>
        <v>351.685773627016</v>
      </c>
      <c r="AB3" s="0" t="n">
        <f aca="false">MOD(E3*1440+V3+4*$B$4-60*$B$5,1440)</f>
        <v>12.2744924176041</v>
      </c>
      <c r="AC3" s="0" t="n">
        <f aca="false">IF(AB3/4&lt;0,AB3/4+180,AB3/4-180)</f>
        <v>-176.931376895599</v>
      </c>
      <c r="AD3" s="0" t="n">
        <f aca="false">DEGREES(ACOS(SIN(RADIANS($B$3))*SIN(RADIANS(T3))+COS(RADIANS($B$3))*COS(RADIANS(T3))*COS(RADIANS(AC3))))</f>
        <v>135.335589744306</v>
      </c>
      <c r="AE3" s="0" t="n">
        <f aca="false">90-AD3</f>
        <v>-45.3355897443055</v>
      </c>
      <c r="AF3" s="0" t="n">
        <f aca="false">IF(AE3&gt;85,0,IF(AE3&gt;5,58.1/TAN(RADIANS(AE3))-0.07/POWER(TAN(RADIANS(AE3)),3)+0.000086/POWER(TAN(RADIANS(AE3)),5),IF(AE3&gt;-0.575,1735+AE3*(-518.2+AE3*(103.4+AE3*(-12.79+AE3*0.711))),-20.772/TAN(RADIANS(AE3)))))/3600</f>
        <v>0.00570280135926326</v>
      </c>
      <c r="AG3" s="0" t="n">
        <f aca="false">AE3+AF3</f>
        <v>-45.3298869429462</v>
      </c>
      <c r="AH3" s="0" t="n">
        <f aca="false">IF(AC3&gt;0,MOD(DEGREES(ACOS(((SIN(RADIANS($B$3))*COS(RADIANS(AD3)))-SIN(RADIANS(T3)))/(COS(RADIANS($B$3))*SIN(RADIANS(AD3)))))+180,360),MOD(540-DEGREES(ACOS(((SIN(RADIANS($B$3))*COS(RADIANS(AD3)))-SIN(RADIANS(T3)))/(COS(RADIANS($B$3))*SIN(RADIANS(AD3))))),360))</f>
        <v>4.10754542663017</v>
      </c>
    </row>
    <row r="4" customFormat="false" ht="15" hidden="false" customHeight="false" outlineLevel="0" collapsed="false">
      <c r="A4" s="0" t="s">
        <v>32</v>
      </c>
      <c r="B4" s="11" t="n">
        <v>11.495</v>
      </c>
      <c r="D4" s="6" t="n">
        <f aca="false">$B$7</f>
        <v>44886</v>
      </c>
      <c r="E4" s="7" t="n">
        <f aca="false">E3+0.1/24</f>
        <v>0.0125</v>
      </c>
      <c r="F4" s="8" t="n">
        <f aca="false">D4+2415018.5+E4-$B$5/24</f>
        <v>2459904.47083333</v>
      </c>
      <c r="G4" s="9" t="n">
        <f aca="false">(F4-2451545)/36525</f>
        <v>0.228869838010504</v>
      </c>
      <c r="I4" s="0" t="n">
        <f aca="false">MOD(280.46646+G4*(36000.76983+G4*0.0003032),360)</f>
        <v>239.956835127596</v>
      </c>
      <c r="J4" s="0" t="n">
        <f aca="false">357.52911+G4*(35999.05029-0.0001537*G4)</f>
        <v>8596.62591035328</v>
      </c>
      <c r="K4" s="0" t="n">
        <f aca="false">0.016708634-G4*(0.000042037+0.0000001267*G4)</f>
        <v>0.0166990063618958</v>
      </c>
      <c r="L4" s="0" t="n">
        <f aca="false">SIN(RADIANS(J4))*(1.914602-G4*(0.004817+0.000014*G4))+SIN(RADIANS(2*J4))*(0.019993-0.000101*G4)+SIN(RADIANS(3*J4))*0.000289</f>
        <v>-1.33427099066343</v>
      </c>
      <c r="M4" s="0" t="n">
        <f aca="false">I4+L4</f>
        <v>238.622564136932</v>
      </c>
      <c r="N4" s="0" t="n">
        <f aca="false">J4+L4</f>
        <v>8595.29163936262</v>
      </c>
      <c r="O4" s="0" t="n">
        <f aca="false">(1.000001018*(1-K4*K4))/(1+K4*COS(RADIANS(N4)))</f>
        <v>0.987996684592601</v>
      </c>
      <c r="P4" s="0" t="n">
        <f aca="false">M4-0.00569-0.00478*SIN(RADIANS(125.04-1934.136*G4))</f>
        <v>238.613652536221</v>
      </c>
      <c r="Q4" s="0" t="n">
        <f aca="false">23+(26+((21.448-G4*(46.815+G4*(0.00059-G4*0.001813))))/60)/60</f>
        <v>23.4363148470455</v>
      </c>
      <c r="R4" s="0" t="n">
        <f aca="false">Q4+0.00256*COS(RADIANS(125.04-1934.136*G4))</f>
        <v>23.4382060575755</v>
      </c>
      <c r="S4" s="0" t="n">
        <f aca="false">DEGREES(ATAN2(COS(RADIANS(P4)),COS(RADIANS(R4))*SIN(RADIANS(P4))))</f>
        <v>-123.621525033082</v>
      </c>
      <c r="T4" s="0" t="n">
        <f aca="false">DEGREES(ASIN(SIN(RADIANS(R4))*SIN(RADIANS(P4))))</f>
        <v>-19.8499198711415</v>
      </c>
      <c r="U4" s="0" t="n">
        <f aca="false">TAN(RADIANS(R4/2))*TAN(RADIANS(R4/2))</f>
        <v>0.0430304317203444</v>
      </c>
      <c r="V4" s="0" t="n">
        <f aca="false">4*DEGREES(U4*SIN(2*RADIANS(I4))-2*K4*SIN(RADIANS(J4))+4*K4*U4*SIN(RADIANS(J4))*COS(2*RADIANS(I4))-0.5*U4*U4*SIN(4*RADIANS(I4))-1.25*K4*K4*SIN(2*RADIANS(J4)))</f>
        <v>14.2934577441624</v>
      </c>
      <c r="W4" s="0" t="n">
        <f aca="false">DEGREES(ACOS(COS(RADIANS(90.833))/(COS(RADIANS($B$3))*COS(RADIANS(T4)))-TAN(RADIANS($B$3))*TAN(RADIANS(T4))))</f>
        <v>43.9575806493769</v>
      </c>
      <c r="X4" s="7" t="n">
        <f aca="false">(720-4*$B$4-V4+$B$5*60)/1440</f>
        <v>0.499810098788776</v>
      </c>
      <c r="Y4" s="7" t="n">
        <f aca="false">X4-W4*4/1440</f>
        <v>0.377705708096062</v>
      </c>
      <c r="Z4" s="7" t="n">
        <f aca="false">X4+W4*4/1440</f>
        <v>0.62191448948149</v>
      </c>
      <c r="AA4" s="10" t="n">
        <f aca="false">8*W4</f>
        <v>351.660645195015</v>
      </c>
      <c r="AB4" s="0" t="n">
        <f aca="false">MOD(E4*1440+V4+4*$B$4-60*$B$5,1440)</f>
        <v>18.2734577441624</v>
      </c>
      <c r="AC4" s="0" t="n">
        <f aca="false">IF(AB4/4&lt;0,AB4/4+180,AB4/4-180)</f>
        <v>-175.431635563959</v>
      </c>
      <c r="AD4" s="0" t="n">
        <f aca="false">DEGREES(ACOS(SIN(RADIANS($B$3))*SIN(RADIANS(T4))+COS(RADIANS($B$3))*COS(RADIANS(T4))*COS(RADIANS(AC4))))</f>
        <v>135.278940724865</v>
      </c>
      <c r="AE4" s="0" t="n">
        <f aca="false">90-AD4</f>
        <v>-45.2789407248651</v>
      </c>
      <c r="AF4" s="0" t="n">
        <f aca="false">IF(AE4&gt;85,0,IF(AE4&gt;5,58.1/TAN(RADIANS(AE4))-0.07/POWER(TAN(RADIANS(AE4)),3)+0.000086/POWER(TAN(RADIANS(AE4)),5),IF(AE4&gt;-0.575,1735+AE4*(-518.2+AE4*(103.4+AE4*(-12.79+AE4*0.711))),-20.772/TAN(RADIANS(AE4)))))/3600</f>
        <v>0.00571409002318472</v>
      </c>
      <c r="AG4" s="0" t="n">
        <f aca="false">AE4+AF4</f>
        <v>-45.2732266348419</v>
      </c>
      <c r="AH4" s="0" t="n">
        <f aca="false">IF(AC4&gt;0,MOD(DEGREES(ACOS(((SIN(RADIANS($B$3))*COS(RADIANS(AD4)))-SIN(RADIANS(T4)))/(COS(RADIANS($B$3))*SIN(RADIANS(AD4)))))+180,360),MOD(540-DEGREES(ACOS(((SIN(RADIANS($B$3))*COS(RADIANS(AD4)))-SIN(RADIANS(T4)))/(COS(RADIANS($B$3))*SIN(RADIANS(AD4))))),360))</f>
        <v>6.11170278389312</v>
      </c>
    </row>
    <row r="5" customFormat="false" ht="15" hidden="false" customHeight="false" outlineLevel="0" collapsed="false">
      <c r="A5" s="0" t="s">
        <v>33</v>
      </c>
      <c r="B5" s="11" t="n">
        <v>1</v>
      </c>
      <c r="D5" s="6" t="n">
        <f aca="false">$B$7</f>
        <v>44886</v>
      </c>
      <c r="E5" s="7" t="n">
        <f aca="false">E4+0.1/24</f>
        <v>0.0166666666666667</v>
      </c>
      <c r="F5" s="8" t="n">
        <f aca="false">D5+2415018.5+E5-$B$5/24</f>
        <v>2459904.475</v>
      </c>
      <c r="G5" s="9" t="n">
        <f aca="false">(F5-2451545)/36525</f>
        <v>0.228869952087614</v>
      </c>
      <c r="I5" s="0" t="n">
        <f aca="false">MOD(280.46646+G5*(36000.76983+G5*0.0003032),360)</f>
        <v>239.960941991367</v>
      </c>
      <c r="J5" s="0" t="n">
        <f aca="false">357.52911+G5*(35999.05029-0.0001537*G5)</f>
        <v>8596.63001702087</v>
      </c>
      <c r="K5" s="0" t="n">
        <f aca="false">0.016708634-G5*(0.000042037+0.0000001267*G5)</f>
        <v>0.0166990063570938</v>
      </c>
      <c r="L5" s="0" t="n">
        <f aca="false">SIN(RADIANS(J5))*(1.914602-G5*(0.004817+0.000014*G5))+SIN(RADIANS(2*J5))*(0.019993-0.000101*G5)+SIN(RADIANS(3*J5))*0.000289</f>
        <v>-1.33417117219036</v>
      </c>
      <c r="M5" s="0" t="n">
        <f aca="false">I5+L5</f>
        <v>238.626770819176</v>
      </c>
      <c r="N5" s="0" t="n">
        <f aca="false">J5+L5</f>
        <v>8595.29584584868</v>
      </c>
      <c r="O5" s="0" t="n">
        <f aca="false">(1.000001018*(1-K5*K5))/(1+K5*COS(RADIANS(N5)))</f>
        <v>0.987995842492045</v>
      </c>
      <c r="P5" s="0" t="n">
        <f aca="false">M5-0.00569-0.00478*SIN(RADIANS(125.04-1934.136*G5))</f>
        <v>238.617859232064</v>
      </c>
      <c r="Q5" s="0" t="n">
        <f aca="false">23+(26+((21.448-G5*(46.815+G5*(0.00059-G5*0.001813))))/60)/60</f>
        <v>23.436314845562</v>
      </c>
      <c r="R5" s="0" t="n">
        <f aca="false">Q5+0.00256*COS(RADIANS(125.04-1934.136*G5))</f>
        <v>23.4382060627362</v>
      </c>
      <c r="S5" s="0" t="n">
        <f aca="false">DEGREES(ATAN2(COS(RADIANS(P5)),COS(RADIANS(R5))*SIN(RADIANS(P5))))</f>
        <v>-123.61716240354</v>
      </c>
      <c r="T5" s="0" t="n">
        <f aca="false">DEGREES(ASIN(SIN(RADIANS(R5))*SIN(RADIANS(P5))))</f>
        <v>-19.8508463107655</v>
      </c>
      <c r="U5" s="0" t="n">
        <f aca="false">TAN(RADIANS(R5/2))*TAN(RADIANS(R5/2))</f>
        <v>0.0430304317398329</v>
      </c>
      <c r="V5" s="0" t="n">
        <f aca="false">4*DEGREES(U5*SIN(2*RADIANS(I5))-2*K5*SIN(RADIANS(J5))+4*K5*U5*SIN(RADIANS(J5))*COS(2*RADIANS(I5))-0.5*U5*U5*SIN(4*RADIANS(I5))-1.25*K5*K5*SIN(2*RADIANS(J5)))</f>
        <v>14.2924228371168</v>
      </c>
      <c r="W5" s="0" t="n">
        <f aca="false">DEGREES(ACOS(COS(RADIANS(90.833))/(COS(RADIANS($B$3))*COS(RADIANS(T5)))-TAN(RADIANS($B$3))*TAN(RADIANS(T5))))</f>
        <v>43.9544397355712</v>
      </c>
      <c r="X5" s="7" t="n">
        <f aca="false">(720-4*$B$4-V5+$B$5*60)/1440</f>
        <v>0.499810817474224</v>
      </c>
      <c r="Y5" s="7" t="n">
        <f aca="false">X5-W5*4/1440</f>
        <v>0.377715151542082</v>
      </c>
      <c r="Z5" s="7" t="n">
        <f aca="false">X5+W5*4/1440</f>
        <v>0.621906483406367</v>
      </c>
      <c r="AA5" s="10" t="n">
        <f aca="false">8*W5</f>
        <v>351.63551788457</v>
      </c>
      <c r="AB5" s="0" t="n">
        <f aca="false">MOD(E5*1440+V5+4*$B$4-60*$B$5,1440)</f>
        <v>24.2724228371168</v>
      </c>
      <c r="AC5" s="0" t="n">
        <f aca="false">IF(AB5/4&lt;0,AB5/4+180,AB5/4-180)</f>
        <v>-173.931894290721</v>
      </c>
      <c r="AD5" s="0" t="n">
        <f aca="false">DEGREES(ACOS(SIN(RADIANS($B$3))*SIN(RADIANS(T5))+COS(RADIANS($B$3))*COS(RADIANS(T5))*COS(RADIANS(AC5))))</f>
        <v>135.199830017152</v>
      </c>
      <c r="AE5" s="0" t="n">
        <f aca="false">90-AD5</f>
        <v>-45.1998300171523</v>
      </c>
      <c r="AF5" s="0" t="n">
        <f aca="false">IF(AE5&gt;85,0,IF(AE5&gt;5,58.1/TAN(RADIANS(AE5))-0.07/POWER(TAN(RADIANS(AE5)),3)+0.000086/POWER(TAN(RADIANS(AE5)),5),IF(AE5&gt;-0.575,1735+AE5*(-518.2+AE5*(103.4+AE5*(-12.79+AE5*0.711))),-20.772/TAN(RADIANS(AE5)))))/3600</f>
        <v>0.00572989175983108</v>
      </c>
      <c r="AG5" s="0" t="n">
        <f aca="false">AE5+AF5</f>
        <v>-45.1941001253924</v>
      </c>
      <c r="AH5" s="0" t="n">
        <f aca="false">IF(AC5&gt;0,MOD(DEGREES(ACOS(((SIN(RADIANS($B$3))*COS(RADIANS(AD5)))-SIN(RADIANS(T5)))/(COS(RADIANS($B$3))*SIN(RADIANS(AD5)))))+180,360),MOD(540-DEGREES(ACOS(((SIN(RADIANS($B$3))*COS(RADIANS(AD5)))-SIN(RADIANS(T5)))/(COS(RADIANS($B$3))*SIN(RADIANS(AD5))))),360))</f>
        <v>8.11191576833596</v>
      </c>
    </row>
    <row r="6" customFormat="false" ht="15" hidden="false" customHeight="false" outlineLevel="0" collapsed="false">
      <c r="D6" s="6" t="n">
        <f aca="false">$B$7</f>
        <v>44886</v>
      </c>
      <c r="E6" s="7" t="n">
        <f aca="false">E5+0.1/24</f>
        <v>0.0208333333333333</v>
      </c>
      <c r="F6" s="8" t="n">
        <f aca="false">D6+2415018.5+E6-$B$5/24</f>
        <v>2459904.47916667</v>
      </c>
      <c r="G6" s="9" t="n">
        <f aca="false">(F6-2451545)/36525</f>
        <v>0.228870066164736</v>
      </c>
      <c r="I6" s="0" t="n">
        <f aca="false">MOD(280.46646+G6*(36000.76983+G6*0.0003032),360)</f>
        <v>239.965048855598</v>
      </c>
      <c r="J6" s="0" t="n">
        <f aca="false">357.52911+G6*(35999.05029-0.0001537*G6)</f>
        <v>8596.63412368892</v>
      </c>
      <c r="K6" s="0" t="n">
        <f aca="false">0.016708634-G6*(0.000042037+0.0000001267*G6)</f>
        <v>0.0166990063522917</v>
      </c>
      <c r="L6" s="0" t="n">
        <f aca="false">SIN(RADIANS(J6))*(1.914602-G6*(0.004817+0.000014*G6))+SIN(RADIANS(2*J6))*(0.019993-0.000101*G6)+SIN(RADIANS(3*J6))*0.000289</f>
        <v>-1.33407134653592</v>
      </c>
      <c r="M6" s="0" t="n">
        <f aca="false">I6+L6</f>
        <v>238.630977509062</v>
      </c>
      <c r="N6" s="0" t="n">
        <f aca="false">J6+L6</f>
        <v>8595.30005234238</v>
      </c>
      <c r="O6" s="0" t="n">
        <f aca="false">(1.000001018*(1-K6*K6))/(1+K6*COS(RADIANS(N6)))</f>
        <v>0.98799500045386</v>
      </c>
      <c r="P6" s="0" t="n">
        <f aca="false">M6-0.00569-0.00478*SIN(RADIANS(125.04-1934.136*G6))</f>
        <v>238.622065935548</v>
      </c>
      <c r="Q6" s="0" t="n">
        <f aca="false">23+(26+((21.448-G6*(46.815+G6*(0.00059-G6*0.001813))))/60)/60</f>
        <v>23.4363148440785</v>
      </c>
      <c r="R6" s="0" t="n">
        <f aca="false">Q6+0.00256*COS(RADIANS(125.04-1934.136*G6))</f>
        <v>23.438206067897</v>
      </c>
      <c r="S6" s="0" t="n">
        <f aca="false">DEGREES(ATAN2(COS(RADIANS(P6)),COS(RADIANS(R6))*SIN(RADIANS(P6))))</f>
        <v>-123.612799715142</v>
      </c>
      <c r="T6" s="0" t="n">
        <f aca="false">DEGREES(ASIN(SIN(RADIANS(R6))*SIN(RADIANS(P6))))</f>
        <v>-19.8517726459745</v>
      </c>
      <c r="U6" s="0" t="n">
        <f aca="false">TAN(RADIANS(R6/2))*TAN(RADIANS(R6/2))</f>
        <v>0.0430304317593212</v>
      </c>
      <c r="V6" s="0" t="n">
        <f aca="false">4*DEGREES(U6*SIN(2*RADIANS(I6))-2*K6*SIN(RADIANS(J6))+4*K6*U6*SIN(RADIANS(J6))*COS(2*RADIANS(I6))-0.5*U6*U6*SIN(4*RADIANS(I6))-1.25*K6*K6*SIN(2*RADIANS(J6)))</f>
        <v>14.2913876962499</v>
      </c>
      <c r="W6" s="0" t="n">
        <f aca="false">DEGREES(ACOS(COS(RADIANS(90.833))/(COS(RADIANS($B$3))*COS(RADIANS(T6)))-TAN(RADIANS($B$3))*TAN(RADIANS(T6))))</f>
        <v>43.9512989613066</v>
      </c>
      <c r="X6" s="7" t="n">
        <f aca="false">(720-4*$B$4-V6+$B$5*60)/1440</f>
        <v>0.499811536322049</v>
      </c>
      <c r="Y6" s="7" t="n">
        <f aca="false">X6-W6*4/1440</f>
        <v>0.377724594762864</v>
      </c>
      <c r="Z6" s="7" t="n">
        <f aca="false">X6+W6*4/1440</f>
        <v>0.621898477881234</v>
      </c>
      <c r="AA6" s="10" t="n">
        <f aca="false">8*W6</f>
        <v>351.610391690452</v>
      </c>
      <c r="AB6" s="0" t="n">
        <f aca="false">MOD(E6*1440+V6+4*$B$4-60*$B$5,1440)</f>
        <v>30.2713876962499</v>
      </c>
      <c r="AC6" s="0" t="n">
        <f aca="false">IF(AB6/4&lt;0,AB6/4+180,AB6/4-180)</f>
        <v>-172.432153075938</v>
      </c>
      <c r="AD6" s="0" t="n">
        <f aca="false">DEGREES(ACOS(SIN(RADIANS($B$3))*SIN(RADIANS(T6))+COS(RADIANS($B$3))*COS(RADIANS(T6))*COS(RADIANS(AC6))))</f>
        <v>135.098406136252</v>
      </c>
      <c r="AE6" s="0" t="n">
        <f aca="false">90-AD6</f>
        <v>-45.0984061362524</v>
      </c>
      <c r="AF6" s="0" t="n">
        <f aca="false">IF(AE6&gt;85,0,IF(AE6&gt;5,58.1/TAN(RADIANS(AE6))-0.07/POWER(TAN(RADIANS(AE6)),3)+0.000086/POWER(TAN(RADIANS(AE6)),5),IF(AE6&gt;-0.575,1735+AE6*(-518.2+AE6*(103.4+AE6*(-12.79+AE6*0.711))),-20.772/TAN(RADIANS(AE6)))))/3600</f>
        <v>0.00575021388553191</v>
      </c>
      <c r="AG6" s="0" t="n">
        <f aca="false">AE6+AF6</f>
        <v>-45.0926559223669</v>
      </c>
      <c r="AH6" s="0" t="n">
        <f aca="false">IF(AC6&gt;0,MOD(DEGREES(ACOS(((SIN(RADIANS($B$3))*COS(RADIANS(AD6)))-SIN(RADIANS(T6)))/(COS(RADIANS($B$3))*SIN(RADIANS(AD6)))))+180,360),MOD(540-DEGREES(ACOS(((SIN(RADIANS($B$3))*COS(RADIANS(AD6)))-SIN(RADIANS(T6)))/(COS(RADIANS($B$3))*SIN(RADIANS(AD6))))),360))</f>
        <v>10.1069179438761</v>
      </c>
    </row>
    <row r="7" customFormat="false" ht="15" hidden="false" customHeight="false" outlineLevel="0" collapsed="false">
      <c r="A7" s="0" t="s">
        <v>1</v>
      </c>
      <c r="B7" s="12" t="n">
        <v>44886</v>
      </c>
      <c r="D7" s="6" t="n">
        <f aca="false">$B$7</f>
        <v>44886</v>
      </c>
      <c r="E7" s="7" t="n">
        <f aca="false">E6+0.1/24</f>
        <v>0.025</v>
      </c>
      <c r="F7" s="8" t="n">
        <f aca="false">D7+2415018.5+E7-$B$5/24</f>
        <v>2459904.48333333</v>
      </c>
      <c r="G7" s="9" t="n">
        <f aca="false">(F7-2451545)/36525</f>
        <v>0.228870180241845</v>
      </c>
      <c r="I7" s="0" t="n">
        <f aca="false">MOD(280.46646+G7*(36000.76983+G7*0.0003032),360)</f>
        <v>239.969155719371</v>
      </c>
      <c r="J7" s="0" t="n">
        <f aca="false">357.52911+G7*(35999.05029-0.0001537*G7)</f>
        <v>8596.6382303565</v>
      </c>
      <c r="K7" s="0" t="n">
        <f aca="false">0.016708634-G7*(0.000042037+0.0000001267*G7)</f>
        <v>0.0166990063474896</v>
      </c>
      <c r="L7" s="0" t="n">
        <f aca="false">SIN(RADIANS(J7))*(1.914602-G7*(0.004817+0.000014*G7))+SIN(RADIANS(2*J7))*(0.019993-0.000101*G7)+SIN(RADIANS(3*J7))*0.000289</f>
        <v>-1.33397151372275</v>
      </c>
      <c r="M7" s="0" t="n">
        <f aca="false">I7+L7</f>
        <v>238.635184205648</v>
      </c>
      <c r="N7" s="0" t="n">
        <f aca="false">J7+L7</f>
        <v>8595.30425884278</v>
      </c>
      <c r="O7" s="0" t="n">
        <f aca="false">(1.000001018*(1-K7*K7))/(1+K7*COS(RADIANS(N7)))</f>
        <v>0.987994158478238</v>
      </c>
      <c r="P7" s="0" t="n">
        <f aca="false">M7-0.00569-0.00478*SIN(RADIANS(125.04-1934.136*G7))</f>
        <v>238.626272645733</v>
      </c>
      <c r="Q7" s="0" t="n">
        <f aca="false">23+(26+((21.448-G7*(46.815+G7*(0.00059-G7*0.001813))))/60)/60</f>
        <v>23.436314842595</v>
      </c>
      <c r="R7" s="0" t="n">
        <f aca="false">Q7+0.00256*COS(RADIANS(125.04-1934.136*G7))</f>
        <v>23.4382060730577</v>
      </c>
      <c r="S7" s="0" t="n">
        <f aca="false">DEGREES(ATAN2(COS(RADIANS(P7)),COS(RADIANS(R7))*SIN(RADIANS(P7))))</f>
        <v>-123.608436968865</v>
      </c>
      <c r="T7" s="0" t="n">
        <f aca="false">DEGREES(ASIN(SIN(RADIANS(R7))*SIN(RADIANS(P7))))</f>
        <v>-19.8526988765539</v>
      </c>
      <c r="U7" s="0" t="n">
        <f aca="false">TAN(RADIANS(R7/2))*TAN(RADIANS(R7/2))</f>
        <v>0.0430304317788094</v>
      </c>
      <c r="V7" s="0" t="n">
        <f aca="false">4*DEGREES(U7*SIN(2*RADIANS(I7))-2*K7*SIN(RADIANS(J7))+4*K7*U7*SIN(RADIANS(J7))*COS(2*RADIANS(I7))-0.5*U7*U7*SIN(4*RADIANS(I7))-1.25*K7*K7*SIN(2*RADIANS(J7)))</f>
        <v>14.2903523218055</v>
      </c>
      <c r="W7" s="0" t="n">
        <f aca="false">DEGREES(ACOS(COS(RADIANS(90.833))/(COS(RADIANS($B$3))*COS(RADIANS(T7)))-TAN(RADIANS($B$3))*TAN(RADIANS(T7))))</f>
        <v>43.9481583273342</v>
      </c>
      <c r="X7" s="7" t="n">
        <f aca="false">(720-4*$B$4-V7+$B$5*60)/1440</f>
        <v>0.499812255332079</v>
      </c>
      <c r="Y7" s="7" t="n">
        <f aca="false">X7-W7*4/1440</f>
        <v>0.377734037756151</v>
      </c>
      <c r="Z7" s="7" t="n">
        <f aca="false">X7+W7*4/1440</f>
        <v>0.621890472908008</v>
      </c>
      <c r="AA7" s="10" t="n">
        <f aca="false">8*W7</f>
        <v>351.585266618674</v>
      </c>
      <c r="AB7" s="0" t="n">
        <f aca="false">MOD(E7*1440+V7+4*$B$4-60*$B$5,1440)</f>
        <v>36.2703523218055</v>
      </c>
      <c r="AC7" s="0" t="n">
        <f aca="false">IF(AB7/4&lt;0,AB7/4+180,AB7/4-180)</f>
        <v>-170.932411919549</v>
      </c>
      <c r="AD7" s="0" t="n">
        <f aca="false">DEGREES(ACOS(SIN(RADIANS($B$3))*SIN(RADIANS(T7))+COS(RADIANS($B$3))*COS(RADIANS(T7))*COS(RADIANS(AC7))))</f>
        <v>134.974857792632</v>
      </c>
      <c r="AE7" s="0" t="n">
        <f aca="false">90-AD7</f>
        <v>-44.9748577926318</v>
      </c>
      <c r="AF7" s="0" t="n">
        <f aca="false">IF(AE7&gt;85,0,IF(AE7&gt;5,58.1/TAN(RADIANS(AE7))-0.07/POWER(TAN(RADIANS(AE7)),3)+0.000086/POWER(TAN(RADIANS(AE7)),5),IF(AE7&gt;-0.575,1735+AE7*(-518.2+AE7*(103.4+AE7*(-12.79+AE7*0.711))),-20.772/TAN(RADIANS(AE7)))))/3600</f>
        <v>0.00577506614043968</v>
      </c>
      <c r="AG7" s="0" t="n">
        <f aca="false">AE7+AF7</f>
        <v>-44.9690827264913</v>
      </c>
      <c r="AH7" s="0" t="n">
        <f aca="false">IF(AC7&gt;0,MOD(DEGREES(ACOS(((SIN(RADIANS($B$3))*COS(RADIANS(AD7)))-SIN(RADIANS(T7)))/(COS(RADIANS($B$3))*SIN(RADIANS(AD7)))))+180,360),MOD(540-DEGREES(ACOS(((SIN(RADIANS($B$3))*COS(RADIANS(AD7)))-SIN(RADIANS(T7)))/(COS(RADIANS($B$3))*SIN(RADIANS(AD7))))),360))</f>
        <v>12.0954780178504</v>
      </c>
    </row>
    <row r="8" customFormat="false" ht="15" hidden="false" customHeight="false" outlineLevel="0" collapsed="false">
      <c r="D8" s="6" t="n">
        <f aca="false">$B$7</f>
        <v>44886</v>
      </c>
      <c r="E8" s="7" t="n">
        <f aca="false">E7+0.1/24</f>
        <v>0.0291666666666667</v>
      </c>
      <c r="F8" s="8" t="n">
        <f aca="false">D8+2415018.5+E8-$B$5/24</f>
        <v>2459904.4875</v>
      </c>
      <c r="G8" s="9" t="n">
        <f aca="false">(F8-2451545)/36525</f>
        <v>0.228870294318967</v>
      </c>
      <c r="I8" s="0" t="n">
        <f aca="false">MOD(280.46646+G8*(36000.76983+G8*0.0003032),360)</f>
        <v>239.9732625836</v>
      </c>
      <c r="J8" s="0" t="n">
        <f aca="false">357.52911+G8*(35999.05029-0.0001537*G8)</f>
        <v>8596.64233702455</v>
      </c>
      <c r="K8" s="0" t="n">
        <f aca="false">0.016708634-G8*(0.000042037+0.0000001267*G8)</f>
        <v>0.0166990063426875</v>
      </c>
      <c r="L8" s="0" t="n">
        <f aca="false">SIN(RADIANS(J8))*(1.914602-G8*(0.004817+0.000014*G8))+SIN(RADIANS(2*J8))*(0.019993-0.000101*G8)+SIN(RADIANS(3*J8))*0.000289</f>
        <v>-1.33387167372909</v>
      </c>
      <c r="M8" s="0" t="n">
        <f aca="false">I8+L8</f>
        <v>238.639390909871</v>
      </c>
      <c r="N8" s="0" t="n">
        <f aca="false">J8+L8</f>
        <v>8595.30846535082</v>
      </c>
      <c r="O8" s="0" t="n">
        <f aca="false">(1.000001018*(1-K8*K8))/(1+K8*COS(RADIANS(N8)))</f>
        <v>0.987993316564996</v>
      </c>
      <c r="P8" s="0" t="n">
        <f aca="false">M8-0.00569-0.00478*SIN(RADIANS(125.04-1934.136*G8))</f>
        <v>238.630479363555</v>
      </c>
      <c r="Q8" s="0" t="n">
        <f aca="false">23+(26+((21.448-G8*(46.815+G8*(0.00059-G8*0.001813))))/60)/60</f>
        <v>23.4363148411116</v>
      </c>
      <c r="R8" s="0" t="n">
        <f aca="false">Q8+0.00256*COS(RADIANS(125.04-1934.136*G8))</f>
        <v>23.4382060782184</v>
      </c>
      <c r="S8" s="0" t="n">
        <f aca="false">DEGREES(ATAN2(COS(RADIANS(P8)),COS(RADIANS(R8))*SIN(RADIANS(P8))))</f>
        <v>-123.604074163741</v>
      </c>
      <c r="T8" s="0" t="n">
        <f aca="false">DEGREES(ASIN(SIN(RADIANS(R8))*SIN(RADIANS(P8))))</f>
        <v>-19.8536250027028</v>
      </c>
      <c r="U8" s="0" t="n">
        <f aca="false">TAN(RADIANS(R8/2))*TAN(RADIANS(R8/2))</f>
        <v>0.0430304317982975</v>
      </c>
      <c r="V8" s="0" t="n">
        <f aca="false">4*DEGREES(U8*SIN(2*RADIANS(I8))-2*K8*SIN(RADIANS(J8))+4*K8*U8*SIN(RADIANS(J8))*COS(2*RADIANS(I8))-0.5*U8*U8*SIN(4*RADIANS(I8))-1.25*K8*K8*SIN(2*RADIANS(J8)))</f>
        <v>14.289316713566</v>
      </c>
      <c r="W8" s="0" t="n">
        <f aca="false">DEGREES(ACOS(COS(RADIANS(90.833))/(COS(RADIANS($B$3))*COS(RADIANS(T8)))-TAN(RADIANS($B$3))*TAN(RADIANS(T8))))</f>
        <v>43.9450178330034</v>
      </c>
      <c r="X8" s="7" t="n">
        <f aca="false">(720-4*$B$4-V8+$B$5*60)/1440</f>
        <v>0.499812974504468</v>
      </c>
      <c r="Y8" s="7" t="n">
        <f aca="false">X8-W8*4/1440</f>
        <v>0.377743480523903</v>
      </c>
      <c r="Z8" s="7" t="n">
        <f aca="false">X8+W8*4/1440</f>
        <v>0.621882468485033</v>
      </c>
      <c r="AA8" s="10" t="n">
        <f aca="false">8*W8</f>
        <v>351.560142664027</v>
      </c>
      <c r="AB8" s="0" t="n">
        <f aca="false">MOD(E8*1440+V8+4*$B$4-60*$B$5,1440)</f>
        <v>42.269316713566</v>
      </c>
      <c r="AC8" s="0" t="n">
        <f aca="false">IF(AB8/4&lt;0,AB8/4+180,AB8/4-180)</f>
        <v>-169.432670821609</v>
      </c>
      <c r="AD8" s="0" t="n">
        <f aca="false">DEGREES(ACOS(SIN(RADIANS($B$3))*SIN(RADIANS(T8))+COS(RADIANS($B$3))*COS(RADIANS(T8))*COS(RADIANS(AC8))))</f>
        <v>134.829412536239</v>
      </c>
      <c r="AE8" s="0" t="n">
        <f aca="false">90-AD8</f>
        <v>-44.8294125362387</v>
      </c>
      <c r="AF8" s="0" t="n">
        <f aca="false">IF(AE8&gt;85,0,IF(AE8&gt;5,58.1/TAN(RADIANS(AE8))-0.07/POWER(TAN(RADIANS(AE8)),3)+0.000086/POWER(TAN(RADIANS(AE8)),5),IF(AE8&gt;-0.575,1735+AE8*(-518.2+AE8*(103.4+AE8*(-12.79+AE8*0.711))),-20.772/TAN(RADIANS(AE8)))))/3600</f>
        <v>0.00580446089361503</v>
      </c>
      <c r="AG8" s="0" t="n">
        <f aca="false">AE8+AF8</f>
        <v>-44.8236080753451</v>
      </c>
      <c r="AH8" s="0" t="n">
        <f aca="false">IF(AC8&gt;0,MOD(DEGREES(ACOS(((SIN(RADIANS($B$3))*COS(RADIANS(AD8)))-SIN(RADIANS(T8)))/(COS(RADIANS($B$3))*SIN(RADIANS(AD8)))))+180,360),MOD(540-DEGREES(ACOS(((SIN(RADIANS($B$3))*COS(RADIANS(AD8)))-SIN(RADIANS(T8)))/(COS(RADIANS($B$3))*SIN(RADIANS(AD8))))),360))</f>
        <v>14.0764075511377</v>
      </c>
    </row>
    <row r="9" customFormat="false" ht="15" hidden="false" customHeight="false" outlineLevel="0" collapsed="false">
      <c r="D9" s="6" t="n">
        <f aca="false">$B$7</f>
        <v>44886</v>
      </c>
      <c r="E9" s="7" t="n">
        <f aca="false">E8+0.1/24</f>
        <v>0.0333333333333333</v>
      </c>
      <c r="F9" s="8" t="n">
        <f aca="false">D9+2415018.5+E9-$B$5/24</f>
        <v>2459904.49166667</v>
      </c>
      <c r="G9" s="9" t="n">
        <f aca="false">(F9-2451545)/36525</f>
        <v>0.228870408396077</v>
      </c>
      <c r="I9" s="0" t="n">
        <f aca="false">MOD(280.46646+G9*(36000.76983+G9*0.0003032),360)</f>
        <v>239.977369447372</v>
      </c>
      <c r="J9" s="0" t="n">
        <f aca="false">357.52911+G9*(35999.05029-0.0001537*G9)</f>
        <v>8596.64644369214</v>
      </c>
      <c r="K9" s="0" t="n">
        <f aca="false">0.016708634-G9*(0.000042037+0.0000001267*G9)</f>
        <v>0.0166990063378854</v>
      </c>
      <c r="L9" s="0" t="n">
        <f aca="false">SIN(RADIANS(J9))*(1.914602-G9*(0.004817+0.000014*G9))+SIN(RADIANS(2*J9))*(0.019993-0.000101*G9)+SIN(RADIANS(3*J9))*0.000289</f>
        <v>-1.33377182657793</v>
      </c>
      <c r="M9" s="0" t="n">
        <f aca="false">I9+L9</f>
        <v>238.643597620794</v>
      </c>
      <c r="N9" s="0" t="n">
        <f aca="false">J9+L9</f>
        <v>8595.31267186556</v>
      </c>
      <c r="O9" s="0" t="n">
        <f aca="false">(1.000001018*(1-K9*K9))/(1+K9*COS(RADIANS(N9)))</f>
        <v>0.987992474714328</v>
      </c>
      <c r="P9" s="0" t="n">
        <f aca="false">M9-0.00569-0.00478*SIN(RADIANS(125.04-1934.136*G9))</f>
        <v>238.634686088076</v>
      </c>
      <c r="Q9" s="0" t="n">
        <f aca="false">23+(26+((21.448-G9*(46.815+G9*(0.00059-G9*0.001813))))/60)/60</f>
        <v>23.4363148396281</v>
      </c>
      <c r="R9" s="0" t="n">
        <f aca="false">Q9+0.00256*COS(RADIANS(125.04-1934.136*G9))</f>
        <v>23.438206083379</v>
      </c>
      <c r="S9" s="0" t="n">
        <f aca="false">DEGREES(ATAN2(COS(RADIANS(P9)),COS(RADIANS(R9))*SIN(RADIANS(P9))))</f>
        <v>-123.599711300746</v>
      </c>
      <c r="T9" s="0" t="n">
        <f aca="false">DEGREES(ASIN(SIN(RADIANS(R9))*SIN(RADIANS(P9))))</f>
        <v>-19.8545510242077</v>
      </c>
      <c r="U9" s="0" t="n">
        <f aca="false">TAN(RADIANS(R9/2))*TAN(RADIANS(R9/2))</f>
        <v>0.0430304318177855</v>
      </c>
      <c r="V9" s="0" t="n">
        <f aca="false">4*DEGREES(U9*SIN(2*RADIANS(I9))-2*K9*SIN(RADIANS(J9))+4*K9*U9*SIN(RADIANS(J9))*COS(2*RADIANS(I9))-0.5*U9*U9*SIN(4*RADIANS(I9))-1.25*K9*K9*SIN(2*RADIANS(J9)))</f>
        <v>14.2882808717763</v>
      </c>
      <c r="W9" s="0" t="n">
        <f aca="false">DEGREES(ACOS(COS(RADIANS(90.833))/(COS(RADIANS($B$3))*COS(RADIANS(T9)))-TAN(RADIANS($B$3))*TAN(RADIANS(T9))))</f>
        <v>43.9418774790629</v>
      </c>
      <c r="X9" s="7" t="n">
        <f aca="false">(720-4*$B$4-V9+$B$5*60)/1440</f>
        <v>0.499813693839044</v>
      </c>
      <c r="Y9" s="7" t="n">
        <f aca="false">X9-W9*4/1440</f>
        <v>0.377752923063869</v>
      </c>
      <c r="Z9" s="7" t="n">
        <f aca="false">X9+W9*4/1440</f>
        <v>0.621874464614219</v>
      </c>
      <c r="AA9" s="10" t="n">
        <f aca="false">8*W9</f>
        <v>351.535019832503</v>
      </c>
      <c r="AB9" s="0" t="n">
        <f aca="false">MOD(E9*1440+V9+4*$B$4-60*$B$5,1440)</f>
        <v>48.2682808717763</v>
      </c>
      <c r="AC9" s="0" t="n">
        <f aca="false">IF(AB9/4&lt;0,AB9/4+180,AB9/4-180)</f>
        <v>-167.932929782056</v>
      </c>
      <c r="AD9" s="0" t="n">
        <f aca="false">DEGREES(ACOS(SIN(RADIANS($B$3))*SIN(RADIANS(T9))+COS(RADIANS($B$3))*COS(RADIANS(T9))*COS(RADIANS(AC9))))</f>
        <v>134.662335149361</v>
      </c>
      <c r="AE9" s="0" t="n">
        <f aca="false">90-AD9</f>
        <v>-44.6623351493612</v>
      </c>
      <c r="AF9" s="0" t="n">
        <f aca="false">IF(AE9&gt;85,0,IF(AE9&gt;5,58.1/TAN(RADIANS(AE9))-0.07/POWER(TAN(RADIANS(AE9)),3)+0.000086/POWER(TAN(RADIANS(AE9)),5),IF(AE9&gt;-0.575,1735+AE9*(-518.2+AE9*(103.4+AE9*(-12.79+AE9*0.711))),-20.772/TAN(RADIANS(AE9)))))/3600</f>
        <v>0.00583841339078786</v>
      </c>
      <c r="AG9" s="0" t="n">
        <f aca="false">AE9+AF9</f>
        <v>-44.6564967359704</v>
      </c>
      <c r="AH9" s="0" t="n">
        <f aca="false">IF(AC9&gt;0,MOD(DEGREES(ACOS(((SIN(RADIANS($B$3))*COS(RADIANS(AD9)))-SIN(RADIANS(T9)))/(COS(RADIANS($B$3))*SIN(RADIANS(AD9)))))+180,360),MOD(540-DEGREES(ACOS(((SIN(RADIANS($B$3))*COS(RADIANS(AD9)))-SIN(RADIANS(T9)))/(COS(RADIANS($B$3))*SIN(RADIANS(AD9))))),360))</f>
        <v>16.0485680243235</v>
      </c>
    </row>
    <row r="10" customFormat="false" ht="15" hidden="false" customHeight="false" outlineLevel="0" collapsed="false">
      <c r="D10" s="6" t="n">
        <f aca="false">$B$7</f>
        <v>44886</v>
      </c>
      <c r="E10" s="7" t="n">
        <f aca="false">E9+0.1/24</f>
        <v>0.0375</v>
      </c>
      <c r="F10" s="8" t="n">
        <f aca="false">D10+2415018.5+E10-$B$5/24</f>
        <v>2459904.49583333</v>
      </c>
      <c r="G10" s="9" t="n">
        <f aca="false">(F10-2451545)/36525</f>
        <v>0.228870522473199</v>
      </c>
      <c r="I10" s="0" t="n">
        <f aca="false">MOD(280.46646+G10*(36000.76983+G10*0.0003032),360)</f>
        <v>239.981476311603</v>
      </c>
      <c r="J10" s="0" t="n">
        <f aca="false">357.52911+G10*(35999.05029-0.0001537*G10)</f>
        <v>8596.65055036018</v>
      </c>
      <c r="K10" s="0" t="n">
        <f aca="false">0.016708634-G10*(0.000042037+0.0000001267*G10)</f>
        <v>0.0166990063330834</v>
      </c>
      <c r="L10" s="0" t="n">
        <f aca="false">SIN(RADIANS(J10))*(1.914602-G10*(0.004817+0.000014*G10))+SIN(RADIANS(2*J10))*(0.019993-0.000101*G10)+SIN(RADIANS(3*J10))*0.000289</f>
        <v>-1.33367197224725</v>
      </c>
      <c r="M10" s="0" t="n">
        <f aca="false">I10+L10</f>
        <v>238.647804339356</v>
      </c>
      <c r="N10" s="0" t="n">
        <f aca="false">J10+L10</f>
        <v>8595.31687838794</v>
      </c>
      <c r="O10" s="0" t="n">
        <f aca="false">(1.000001018*(1-K10*K10))/(1+K10*COS(RADIANS(N10)))</f>
        <v>0.987991632926048</v>
      </c>
      <c r="P10" s="0" t="n">
        <f aca="false">M10-0.00569-0.00478*SIN(RADIANS(125.04-1934.136*G10))</f>
        <v>238.638892820236</v>
      </c>
      <c r="Q10" s="0" t="n">
        <f aca="false">23+(26+((21.448-G10*(46.815+G10*(0.00059-G10*0.001813))))/60)/60</f>
        <v>23.4363148381446</v>
      </c>
      <c r="R10" s="0" t="n">
        <f aca="false">Q10+0.00256*COS(RADIANS(125.04-1934.136*G10))</f>
        <v>23.4382060885396</v>
      </c>
      <c r="S10" s="0" t="n">
        <f aca="false">DEGREES(ATAN2(COS(RADIANS(P10)),COS(RADIANS(R10))*SIN(RADIANS(P10))))</f>
        <v>-123.595348378905</v>
      </c>
      <c r="T10" s="0" t="n">
        <f aca="false">DEGREES(ASIN(SIN(RADIANS(R10))*SIN(RADIANS(P10))))</f>
        <v>-19.8554769412684</v>
      </c>
      <c r="U10" s="0" t="n">
        <f aca="false">TAN(RADIANS(R10/2))*TAN(RADIANS(R10/2))</f>
        <v>0.0430304318372734</v>
      </c>
      <c r="V10" s="0" t="n">
        <f aca="false">4*DEGREES(U10*SIN(2*RADIANS(I10))-2*K10*SIN(RADIANS(J10))+4*K10*U10*SIN(RADIANS(J10))*COS(2*RADIANS(I10))-0.5*U10*U10*SIN(4*RADIANS(I10))-1.25*K10*K10*SIN(2*RADIANS(J10)))</f>
        <v>14.287244796217</v>
      </c>
      <c r="W10" s="0" t="n">
        <f aca="false">DEGREES(ACOS(COS(RADIANS(90.833))/(COS(RADIANS($B$3))*COS(RADIANS(T10)))-TAN(RADIANS($B$3))*TAN(RADIANS(T10))))</f>
        <v>43.9387372648593</v>
      </c>
      <c r="X10" s="7" t="n">
        <f aca="false">(720-4*$B$4-V10+$B$5*60)/1440</f>
        <v>0.49981441333596</v>
      </c>
      <c r="Y10" s="7" t="n">
        <f aca="false">X10-W10*4/1440</f>
        <v>0.377762365378018</v>
      </c>
      <c r="Z10" s="7" t="n">
        <f aca="false">X10+W10*4/1440</f>
        <v>0.621866461293903</v>
      </c>
      <c r="AA10" s="10" t="n">
        <f aca="false">8*W10</f>
        <v>351.509898118874</v>
      </c>
      <c r="AB10" s="0" t="n">
        <f aca="false">MOD(E10*1440+V10+4*$B$4-60*$B$5,1440)</f>
        <v>54.267244796217</v>
      </c>
      <c r="AC10" s="0" t="n">
        <f aca="false">IF(AB10/4&lt;0,AB10/4+180,AB10/4-180)</f>
        <v>-166.433188800946</v>
      </c>
      <c r="AD10" s="0" t="n">
        <f aca="false">DEGREES(ACOS(SIN(RADIANS($B$3))*SIN(RADIANS(T10))+COS(RADIANS($B$3))*COS(RADIANS(T10))*COS(RADIANS(AC10))))</f>
        <v>134.473925819247</v>
      </c>
      <c r="AE10" s="0" t="n">
        <f aca="false">90-AD10</f>
        <v>-44.4739258192472</v>
      </c>
      <c r="AF10" s="0" t="n">
        <f aca="false">IF(AE10&gt;85,0,IF(AE10&gt;5,58.1/TAN(RADIANS(AE10))-0.07/POWER(TAN(RADIANS(AE10)),3)+0.000086/POWER(TAN(RADIANS(AE10)),5),IF(AE10&gt;-0.575,1735+AE10*(-518.2+AE10*(103.4+AE10*(-12.79+AE10*0.711))),-20.772/TAN(RADIANS(AE10)))))/3600</f>
        <v>0.00587694204237281</v>
      </c>
      <c r="AG10" s="0" t="n">
        <f aca="false">AE10+AF10</f>
        <v>-44.4680488772049</v>
      </c>
      <c r="AH10" s="0" t="n">
        <f aca="false">IF(AC10&gt;0,MOD(DEGREES(ACOS(((SIN(RADIANS($B$3))*COS(RADIANS(AD10)))-SIN(RADIANS(T10)))/(COS(RADIANS($B$3))*SIN(RADIANS(AD10)))))+180,360),MOD(540-DEGREES(ACOS(((SIN(RADIANS($B$3))*COS(RADIANS(AD10)))-SIN(RADIANS(T10)))/(COS(RADIANS($B$3))*SIN(RADIANS(AD10))))),360))</f>
        <v>18.0108771722411</v>
      </c>
    </row>
    <row r="11" customFormat="false" ht="15" hidden="false" customHeight="false" outlineLevel="0" collapsed="false">
      <c r="D11" s="6" t="n">
        <f aca="false">$B$7</f>
        <v>44886</v>
      </c>
      <c r="E11" s="7" t="n">
        <f aca="false">E10+0.1/24</f>
        <v>0.0416666666666667</v>
      </c>
      <c r="F11" s="8" t="n">
        <f aca="false">D11+2415018.5+E11-$B$5/24</f>
        <v>2459904.5</v>
      </c>
      <c r="G11" s="9" t="n">
        <f aca="false">(F11-2451545)/36525</f>
        <v>0.228870636550308</v>
      </c>
      <c r="I11" s="0" t="n">
        <f aca="false">MOD(280.46646+G11*(36000.76983+G11*0.0003032),360)</f>
        <v>239.985583175376</v>
      </c>
      <c r="J11" s="0" t="n">
        <f aca="false">357.52911+G11*(35999.05029-0.0001537*G11)</f>
        <v>8596.65465702777</v>
      </c>
      <c r="K11" s="0" t="n">
        <f aca="false">0.016708634-G11*(0.000042037+0.0000001267*G11)</f>
        <v>0.0166990063282813</v>
      </c>
      <c r="L11" s="0" t="n">
        <f aca="false">SIN(RADIANS(J11))*(1.914602-G11*(0.004817+0.000014*G11))+SIN(RADIANS(2*J11))*(0.019993-0.000101*G11)+SIN(RADIANS(3*J11))*0.000289</f>
        <v>-1.33357211075995</v>
      </c>
      <c r="M11" s="0" t="n">
        <f aca="false">I11+L11</f>
        <v>238.652011064616</v>
      </c>
      <c r="N11" s="0" t="n">
        <f aca="false">J11+L11</f>
        <v>8595.32108491701</v>
      </c>
      <c r="O11" s="0" t="n">
        <f aca="false">(1.000001018*(1-K11*K11))/(1+K11*COS(RADIANS(N11)))</f>
        <v>0.98799079120035</v>
      </c>
      <c r="P11" s="0" t="n">
        <f aca="false">M11-0.00569-0.00478*SIN(RADIANS(125.04-1934.136*G11))</f>
        <v>238.643099559095</v>
      </c>
      <c r="Q11" s="0" t="n">
        <f aca="false">23+(26+((21.448-G11*(46.815+G11*(0.00059-G11*0.001813))))/60)/60</f>
        <v>23.4363148366611</v>
      </c>
      <c r="R11" s="0" t="n">
        <f aca="false">Q11+0.00256*COS(RADIANS(125.04-1934.136*G11))</f>
        <v>23.4382060937003</v>
      </c>
      <c r="S11" s="0" t="n">
        <f aca="false">DEGREES(ATAN2(COS(RADIANS(P11)),COS(RADIANS(R11))*SIN(RADIANS(P11))))</f>
        <v>-123.590985399199</v>
      </c>
      <c r="T11" s="0" t="n">
        <f aca="false">DEGREES(ASIN(SIN(RADIANS(R11))*SIN(RADIANS(P11))))</f>
        <v>-19.8564027536705</v>
      </c>
      <c r="U11" s="0" t="n">
        <f aca="false">TAN(RADIANS(R11/2))*TAN(RADIANS(R11/2))</f>
        <v>0.0430304318567612</v>
      </c>
      <c r="V11" s="0" t="n">
        <f aca="false">4*DEGREES(U11*SIN(2*RADIANS(I11))-2*K11*SIN(RADIANS(J11))+4*K11*U11*SIN(RADIANS(J11))*COS(2*RADIANS(I11))-0.5*U11*U11*SIN(4*RADIANS(I11))-1.25*K11*K11*SIN(2*RADIANS(J11)))</f>
        <v>14.2862084871333</v>
      </c>
      <c r="W11" s="0" t="n">
        <f aca="false">DEGREES(ACOS(COS(RADIANS(90.833))/(COS(RADIANS($B$3))*COS(RADIANS(T11)))-TAN(RADIANS($B$3))*TAN(RADIANS(T11))))</f>
        <v>43.9355971911437</v>
      </c>
      <c r="X11" s="7" t="n">
        <f aca="false">(720-4*$B$4-V11+$B$5*60)/1440</f>
        <v>0.499815132995046</v>
      </c>
      <c r="Y11" s="7" t="n">
        <f aca="false">X11-W11*4/1440</f>
        <v>0.377771807464092</v>
      </c>
      <c r="Z11" s="7" t="n">
        <f aca="false">X11+W11*4/1440</f>
        <v>0.621858458526001</v>
      </c>
      <c r="AA11" s="10" t="n">
        <f aca="false">8*W11</f>
        <v>351.484777529149</v>
      </c>
      <c r="AB11" s="0" t="n">
        <f aca="false">MOD(E11*1440+V11+4*$B$4-60*$B$5,1440)</f>
        <v>60.2662084871333</v>
      </c>
      <c r="AC11" s="0" t="n">
        <f aca="false">IF(AB11/4&lt;0,AB11/4+180,AB11/4-180)</f>
        <v>-164.933447878217</v>
      </c>
      <c r="AD11" s="0" t="n">
        <f aca="false">DEGREES(ACOS(SIN(RADIANS($B$3))*SIN(RADIANS(T11))+COS(RADIANS($B$3))*COS(RADIANS(T11))*COS(RADIANS(AC11))))</f>
        <v>134.264518117608</v>
      </c>
      <c r="AE11" s="0" t="n">
        <f aca="false">90-AD11</f>
        <v>-44.2645181176077</v>
      </c>
      <c r="AF11" s="0" t="n">
        <f aca="false">IF(AE11&gt;85,0,IF(AE11&gt;5,58.1/TAN(RADIANS(AE11))-0.07/POWER(TAN(RADIANS(AE11)),3)+0.000086/POWER(TAN(RADIANS(AE11)),5),IF(AE11&gt;-0.575,1735+AE11*(-518.2+AE11*(103.4+AE11*(-12.79+AE11*0.711))),-20.772/TAN(RADIANS(AE11)))))/3600</f>
        <v>0.00592006875058179</v>
      </c>
      <c r="AG11" s="0" t="n">
        <f aca="false">AE11+AF11</f>
        <v>-44.2585980488572</v>
      </c>
      <c r="AH11" s="0" t="n">
        <f aca="false">IF(AC11&gt;0,MOD(DEGREES(ACOS(((SIN(RADIANS($B$3))*COS(RADIANS(AD11)))-SIN(RADIANS(T11)))/(COS(RADIANS($B$3))*SIN(RADIANS(AD11)))))+180,360),MOD(540-DEGREES(ACOS(((SIN(RADIANS($B$3))*COS(RADIANS(AD11)))-SIN(RADIANS(T11)))/(COS(RADIANS($B$3))*SIN(RADIANS(AD11))))),360))</f>
        <v>19.9623145201414</v>
      </c>
    </row>
    <row r="12" customFormat="false" ht="15" hidden="false" customHeight="false" outlineLevel="0" collapsed="false">
      <c r="D12" s="6" t="n">
        <f aca="false">$B$7</f>
        <v>44886</v>
      </c>
      <c r="E12" s="7" t="n">
        <f aca="false">E11+0.1/24</f>
        <v>0.0458333333333333</v>
      </c>
      <c r="F12" s="8" t="n">
        <f aca="false">D12+2415018.5+E12-$B$5/24</f>
        <v>2459904.50416667</v>
      </c>
      <c r="G12" s="9" t="n">
        <f aca="false">(F12-2451545)/36525</f>
        <v>0.22887075062743</v>
      </c>
      <c r="I12" s="0" t="n">
        <f aca="false">MOD(280.46646+G12*(36000.76983+G12*0.0003032),360)</f>
        <v>239.989690039605</v>
      </c>
      <c r="J12" s="0" t="n">
        <f aca="false">357.52911+G12*(35999.05029-0.0001537*G12)</f>
        <v>8596.65876369582</v>
      </c>
      <c r="K12" s="0" t="n">
        <f aca="false">0.016708634-G12*(0.000042037+0.0000001267*G12)</f>
        <v>0.0166990063234792</v>
      </c>
      <c r="L12" s="0" t="n">
        <f aca="false">SIN(RADIANS(J12))*(1.914602-G12*(0.004817+0.000014*G12))+SIN(RADIANS(2*J12))*(0.019993-0.000101*G12)+SIN(RADIANS(3*J12))*0.000289</f>
        <v>-1.33347224209432</v>
      </c>
      <c r="M12" s="0" t="n">
        <f aca="false">I12+L12</f>
        <v>238.656217797511</v>
      </c>
      <c r="N12" s="0" t="n">
        <f aca="false">J12+L12</f>
        <v>8595.32529145372</v>
      </c>
      <c r="O12" s="0" t="n">
        <f aca="false">(1.000001018*(1-K12*K12))/(1+K12*COS(RADIANS(N12)))</f>
        <v>0.987989949537052</v>
      </c>
      <c r="P12" s="0" t="n">
        <f aca="false">M12-0.00569-0.00478*SIN(RADIANS(125.04-1934.136*G12))</f>
        <v>238.647306305589</v>
      </c>
      <c r="Q12" s="0" t="n">
        <f aca="false">23+(26+((21.448-G12*(46.815+G12*(0.00059-G12*0.001813))))/60)/60</f>
        <v>23.4363148351777</v>
      </c>
      <c r="R12" s="0" t="n">
        <f aca="false">Q12+0.00256*COS(RADIANS(125.04-1934.136*G12))</f>
        <v>23.4382060988608</v>
      </c>
      <c r="S12" s="0" t="n">
        <f aca="false">DEGREES(ATAN2(COS(RADIANS(P12)),COS(RADIANS(R12))*SIN(RADIANS(P12))))</f>
        <v>-123.586622360656</v>
      </c>
      <c r="T12" s="0" t="n">
        <f aca="false">DEGREES(ASIN(SIN(RADIANS(R12))*SIN(RADIANS(P12))))</f>
        <v>-19.8573284616131</v>
      </c>
      <c r="U12" s="0" t="n">
        <f aca="false">TAN(RADIANS(R12/2))*TAN(RADIANS(R12/2))</f>
        <v>0.0430304318762489</v>
      </c>
      <c r="V12" s="0" t="n">
        <f aca="false">4*DEGREES(U12*SIN(2*RADIANS(I12))-2*K12*SIN(RADIANS(J12))+4*K12*U12*SIN(RADIANS(J12))*COS(2*RADIANS(I12))-0.5*U12*U12*SIN(4*RADIANS(I12))-1.25*K12*K12*SIN(2*RADIANS(J12)))</f>
        <v>14.2851719443076</v>
      </c>
      <c r="W12" s="0" t="n">
        <f aca="false">DEGREES(ACOS(COS(RADIANS(90.833))/(COS(RADIANS($B$3))*COS(RADIANS(T12)))-TAN(RADIANS($B$3))*TAN(RADIANS(T12))))</f>
        <v>43.9324572572658</v>
      </c>
      <c r="X12" s="7" t="n">
        <f aca="false">(720-4*$B$4-V12+$B$5*60)/1440</f>
        <v>0.499815852816453</v>
      </c>
      <c r="Y12" s="7" t="n">
        <f aca="false">X12-W12*4/1440</f>
        <v>0.377781249324048</v>
      </c>
      <c r="Z12" s="7" t="n">
        <f aca="false">X12+W12*4/1440</f>
        <v>0.621850456308858</v>
      </c>
      <c r="AA12" s="10" t="n">
        <f aca="false">8*W12</f>
        <v>351.459658058126</v>
      </c>
      <c r="AB12" s="0" t="n">
        <f aca="false">MOD(E12*1440+V12+4*$B$4-60*$B$5,1440)</f>
        <v>66.2651719443076</v>
      </c>
      <c r="AC12" s="0" t="n">
        <f aca="false">IF(AB12/4&lt;0,AB12/4+180,AB12/4-180)</f>
        <v>-163.433707013923</v>
      </c>
      <c r="AD12" s="0" t="n">
        <f aca="false">DEGREES(ACOS(SIN(RADIANS($B$3))*SIN(RADIANS(T12))+COS(RADIANS($B$3))*COS(RADIANS(T12))*COS(RADIANS(AC12))))</f>
        <v>134.034476822871</v>
      </c>
      <c r="AE12" s="0" t="n">
        <f aca="false">90-AD12</f>
        <v>-44.0344768228706</v>
      </c>
      <c r="AF12" s="0" t="n">
        <f aca="false">IF(AE12&gt;85,0,IF(AE12&gt;5,58.1/TAN(RADIANS(AE12))-0.07/POWER(TAN(RADIANS(AE12)),3)+0.000086/POWER(TAN(RADIANS(AE12)),5),IF(AE12&gt;-0.575,1735+AE12*(-518.2+AE12*(103.4+AE12*(-12.79+AE12*0.711))),-20.772/TAN(RADIANS(AE12)))))/3600</f>
        <v>0.00596781927309875</v>
      </c>
      <c r="AG12" s="0" t="n">
        <f aca="false">AE12+AF12</f>
        <v>-44.0285090035975</v>
      </c>
      <c r="AH12" s="0" t="n">
        <f aca="false">IF(AC12&gt;0,MOD(DEGREES(ACOS(((SIN(RADIANS($B$3))*COS(RADIANS(AD12)))-SIN(RADIANS(T12)))/(COS(RADIANS($B$3))*SIN(RADIANS(AD12)))))+180,360),MOD(540-DEGREES(ACOS(((SIN(RADIANS($B$3))*COS(RADIANS(AD12)))-SIN(RADIANS(T12)))/(COS(RADIANS($B$3))*SIN(RADIANS(AD12))))),360))</f>
        <v>21.9019260736437</v>
      </c>
    </row>
    <row r="13" s="13" customFormat="true" ht="15" hidden="false" customHeight="false" outlineLevel="0" collapsed="false">
      <c r="D13" s="12" t="n">
        <f aca="false">$B$7</f>
        <v>44886</v>
      </c>
      <c r="E13" s="14" t="n">
        <f aca="false">E12+0.1/24</f>
        <v>0.05</v>
      </c>
      <c r="F13" s="15" t="n">
        <f aca="false">D13+2415018.5+E13-$B$5/24</f>
        <v>2459904.50833333</v>
      </c>
      <c r="G13" s="16" t="n">
        <f aca="false">(F13-2451545)/36525</f>
        <v>0.228870864704539</v>
      </c>
      <c r="I13" s="13" t="n">
        <f aca="false">MOD(280.46646+G13*(36000.76983+G13*0.0003032),360)</f>
        <v>239.993796903376</v>
      </c>
      <c r="J13" s="13" t="n">
        <f aca="false">357.52911+G13*(35999.05029-0.0001537*G13)</f>
        <v>8596.66287036341</v>
      </c>
      <c r="K13" s="13" t="n">
        <f aca="false">0.016708634-G13*(0.000042037+0.0000001267*G13)</f>
        <v>0.0166990063186771</v>
      </c>
      <c r="L13" s="13" t="n">
        <f aca="false">SIN(RADIANS(J13))*(1.914602-G13*(0.004817+0.000014*G13))+SIN(RADIANS(2*J13))*(0.019993-0.000101*G13)+SIN(RADIANS(3*J13))*0.000289</f>
        <v>-1.33337236627314</v>
      </c>
      <c r="M13" s="13" t="n">
        <f aca="false">I13+L13</f>
        <v>238.660424537103</v>
      </c>
      <c r="N13" s="13" t="n">
        <f aca="false">J13+L13</f>
        <v>8595.32949799713</v>
      </c>
      <c r="O13" s="13" t="n">
        <f aca="false">(1.000001018*(1-K13*K13))/(1+K13*COS(RADIANS(N13)))</f>
        <v>0.987989107936344</v>
      </c>
      <c r="P13" s="13" t="n">
        <f aca="false">M13-0.00569-0.00478*SIN(RADIANS(125.04-1934.136*G13))</f>
        <v>238.651513058781</v>
      </c>
      <c r="Q13" s="13" t="n">
        <f aca="false">23+(26+((21.448-G13*(46.815+G13*(0.00059-G13*0.001813))))/60)/60</f>
        <v>23.4363148336942</v>
      </c>
      <c r="R13" s="13" t="n">
        <f aca="false">Q13+0.00256*COS(RADIANS(125.04-1934.136*G13))</f>
        <v>23.4382061040214</v>
      </c>
      <c r="S13" s="13" t="n">
        <f aca="false">DEGREES(ATAN2(COS(RADIANS(P13)),COS(RADIANS(R13))*SIN(RADIANS(P13))))</f>
        <v>-123.582259264254</v>
      </c>
      <c r="T13" s="13" t="n">
        <f aca="false">DEGREES(ASIN(SIN(RADIANS(R13))*SIN(RADIANS(P13))))</f>
        <v>-19.8582540648826</v>
      </c>
      <c r="U13" s="13" t="n">
        <f aca="false">TAN(RADIANS(R13/2))*TAN(RADIANS(R13/2))</f>
        <v>0.0430304318957364</v>
      </c>
      <c r="V13" s="13" t="n">
        <f aca="false">4*DEGREES(U13*SIN(2*RADIANS(I13))-2*K13*SIN(RADIANS(J13))+4*K13*U13*SIN(RADIANS(J13))*COS(2*RADIANS(I13))-0.5*U13*U13*SIN(4*RADIANS(I13))-1.25*K13*K13*SIN(2*RADIANS(J13)))</f>
        <v>14.284135167984</v>
      </c>
      <c r="W13" s="13" t="n">
        <f aca="false">DEGREES(ACOS(COS(RADIANS(90.833))/(COS(RADIANS($B$3))*COS(RADIANS(T13)))-TAN(RADIANS($B$3))*TAN(RADIANS(T13))))</f>
        <v>43.9293174639741</v>
      </c>
      <c r="X13" s="14" t="n">
        <f aca="false">(720-4*$B$4-V13+$B$5*60)/1440</f>
        <v>0.499816572800011</v>
      </c>
      <c r="Y13" s="14" t="n">
        <f aca="false">X13-W13*4/1440</f>
        <v>0.377790690955639</v>
      </c>
      <c r="Z13" s="14" t="n">
        <f aca="false">X13+W13*4/1440</f>
        <v>0.621842454644384</v>
      </c>
      <c r="AA13" s="17" t="n">
        <f aca="false">8*W13</f>
        <v>351.434539711793</v>
      </c>
      <c r="AB13" s="13" t="n">
        <f aca="false">MOD(E13*1440+V13+4*$B$4-60*$B$5,1440)</f>
        <v>72.264135167984</v>
      </c>
      <c r="AC13" s="13" t="n">
        <f aca="false">IF(AB13/4&lt;0,AB13/4+180,AB13/4-180)</f>
        <v>-161.933966208004</v>
      </c>
      <c r="AD13" s="13" t="n">
        <f aca="false">DEGREES(ACOS(SIN(RADIANS($B$3))*SIN(RADIANS(T13))+COS(RADIANS($B$3))*COS(RADIANS(T13))*COS(RADIANS(AC13))))</f>
        <v>133.78419561536</v>
      </c>
      <c r="AE13" s="13" t="n">
        <f aca="false">90-AD13</f>
        <v>-43.7841956153602</v>
      </c>
      <c r="AF13" s="13" t="n">
        <f aca="false">IF(AE13&gt;85,0,IF(AE13&gt;5,58.1/TAN(RADIANS(AE13))-0.07/POWER(TAN(RADIANS(AE13)),3)+0.000086/POWER(TAN(RADIANS(AE13)),5),IF(AE13&gt;-0.575,1735+AE13*(-518.2+AE13*(103.4+AE13*(-12.79+AE13*0.711))),-20.772/TAN(RADIANS(AE13)))))/3600</f>
        <v>0.00602022362225353</v>
      </c>
      <c r="AG13" s="13" t="n">
        <f aca="false">AE13+AF13</f>
        <v>-43.778175391738</v>
      </c>
      <c r="AH13" s="13" t="n">
        <f aca="false">IF(AC13&gt;0,MOD(DEGREES(ACOS(((SIN(RADIANS($B$3))*COS(RADIANS(AD13)))-SIN(RADIANS(T13)))/(COS(RADIANS($B$3))*SIN(RADIANS(AD13)))))+180,360),MOD(540-DEGREES(ACOS(((SIN(RADIANS($B$3))*COS(RADIANS(AD13)))-SIN(RADIANS(T13)))/(COS(RADIANS($B$3))*SIN(RADIANS(AD13))))),360))</f>
        <v>23.8288281362655</v>
      </c>
    </row>
    <row r="14" customFormat="false" ht="15" hidden="false" customHeight="false" outlineLevel="0" collapsed="false">
      <c r="D14" s="6" t="n">
        <f aca="false">$B$7</f>
        <v>44886</v>
      </c>
      <c r="E14" s="7" t="n">
        <f aca="false">E13+0.1/24</f>
        <v>0.0541666666666667</v>
      </c>
      <c r="F14" s="8" t="n">
        <f aca="false">D14+2415018.5+E14-$B$5/24</f>
        <v>2459904.5125</v>
      </c>
      <c r="G14" s="9" t="n">
        <f aca="false">(F14-2451545)/36525</f>
        <v>0.228870978781662</v>
      </c>
      <c r="I14" s="0" t="n">
        <f aca="false">MOD(280.46646+G14*(36000.76983+G14*0.0003032),360)</f>
        <v>239.997903767608</v>
      </c>
      <c r="J14" s="0" t="n">
        <f aca="false">357.52911+G14*(35999.05029-0.0001537*G14)</f>
        <v>8596.66697703145</v>
      </c>
      <c r="K14" s="0" t="n">
        <f aca="false">0.016708634-G14*(0.000042037+0.0000001267*G14)</f>
        <v>0.0166990063138751</v>
      </c>
      <c r="L14" s="0" t="n">
        <f aca="false">SIN(RADIANS(J14))*(1.914602-G14*(0.004817+0.000014*G14))+SIN(RADIANS(2*J14))*(0.019993-0.000101*G14)+SIN(RADIANS(3*J14))*0.000289</f>
        <v>-1.33327248327453</v>
      </c>
      <c r="M14" s="0" t="n">
        <f aca="false">I14+L14</f>
        <v>238.664631284333</v>
      </c>
      <c r="N14" s="0" t="n">
        <f aca="false">J14+L14</f>
        <v>8595.33370454818</v>
      </c>
      <c r="O14" s="0" t="n">
        <f aca="false">(1.000001018*(1-K14*K14))/(1+K14*COS(RADIANS(N14)))</f>
        <v>0.987988266398045</v>
      </c>
      <c r="P14" s="0" t="n">
        <f aca="false">M14-0.00569-0.00478*SIN(RADIANS(125.04-1934.136*G14))</f>
        <v>238.655719819609</v>
      </c>
      <c r="Q14" s="0" t="n">
        <f aca="false">23+(26+((21.448-G14*(46.815+G14*(0.00059-G14*0.001813))))/60)/60</f>
        <v>23.4363148322107</v>
      </c>
      <c r="R14" s="0" t="n">
        <f aca="false">Q14+0.00256*COS(RADIANS(125.04-1934.136*G14))</f>
        <v>23.4382061091819</v>
      </c>
      <c r="S14" s="0" t="n">
        <f aca="false">DEGREES(ATAN2(COS(RADIANS(P14)),COS(RADIANS(R14))*SIN(RADIANS(P14))))</f>
        <v>-123.577896109018</v>
      </c>
      <c r="T14" s="0" t="n">
        <f aca="false">DEGREES(ASIN(SIN(RADIANS(R14))*SIN(RADIANS(P14))))</f>
        <v>-19.8591795636788</v>
      </c>
      <c r="U14" s="0" t="n">
        <f aca="false">TAN(RADIANS(R14/2))*TAN(RADIANS(R14/2))</f>
        <v>0.0430304319152239</v>
      </c>
      <c r="V14" s="0" t="n">
        <f aca="false">4*DEGREES(U14*SIN(2*RADIANS(I14))-2*K14*SIN(RADIANS(J14))+4*K14*U14*SIN(RADIANS(J14))*COS(2*RADIANS(I14))-0.5*U14*U14*SIN(4*RADIANS(I14))-1.25*K14*K14*SIN(2*RADIANS(J14)))</f>
        <v>14.2830981579438</v>
      </c>
      <c r="W14" s="0" t="n">
        <f aca="false">DEGREES(ACOS(COS(RADIANS(90.833))/(COS(RADIANS($B$3))*COS(RADIANS(T14)))-TAN(RADIANS($B$3))*TAN(RADIANS(T14))))</f>
        <v>43.9261778106154</v>
      </c>
      <c r="X14" s="7" t="n">
        <f aca="false">(720-4*$B$4-V14+$B$5*60)/1440</f>
        <v>0.499817292945872</v>
      </c>
      <c r="Y14" s="7" t="n">
        <f aca="false">X14-W14*4/1440</f>
        <v>0.37780013236083</v>
      </c>
      <c r="Z14" s="7" t="n">
        <f aca="false">X14+W14*4/1440</f>
        <v>0.621834453530915</v>
      </c>
      <c r="AA14" s="10" t="n">
        <f aca="false">8*W14</f>
        <v>351.409422484923</v>
      </c>
      <c r="AB14" s="0" t="n">
        <f aca="false">MOD(E14*1440+V14+4*$B$4-60*$B$5,1440)</f>
        <v>78.2630981579437</v>
      </c>
      <c r="AC14" s="0" t="n">
        <f aca="false">IF(AB14/4&lt;0,AB14/4+180,AB14/4-180)</f>
        <v>-160.434225460514</v>
      </c>
      <c r="AD14" s="0" t="n">
        <f aca="false">DEGREES(ACOS(SIN(RADIANS($B$3))*SIN(RADIANS(T14))+COS(RADIANS($B$3))*COS(RADIANS(T14))*COS(RADIANS(AC14))))</f>
        <v>133.514094682596</v>
      </c>
      <c r="AE14" s="0" t="n">
        <f aca="false">90-AD14</f>
        <v>-43.5140946825964</v>
      </c>
      <c r="AF14" s="0" t="n">
        <f aca="false">IF(AE14&gt;85,0,IF(AE14&gt;5,58.1/TAN(RADIANS(AE14))-0.07/POWER(TAN(RADIANS(AE14)),3)+0.000086/POWER(TAN(RADIANS(AE14)),5),IF(AE14&gt;-0.575,1735+AE14*(-518.2+AE14*(103.4+AE14*(-12.79+AE14*0.711))),-20.772/TAN(RADIANS(AE14)))))/3600</f>
        <v>0.00607731649741776</v>
      </c>
      <c r="AG14" s="0" t="n">
        <f aca="false">AE14+AF14</f>
        <v>-43.5080173660989</v>
      </c>
      <c r="AH14" s="0" t="n">
        <f aca="false">IF(AC14&gt;0,MOD(DEGREES(ACOS(((SIN(RADIANS($B$3))*COS(RADIANS(AD14)))-SIN(RADIANS(T14)))/(COS(RADIANS($B$3))*SIN(RADIANS(AD14)))))+180,360),MOD(540-DEGREES(ACOS(((SIN(RADIANS($B$3))*COS(RADIANS(AD14)))-SIN(RADIANS(T14)))/(COS(RADIANS($B$3))*SIN(RADIANS(AD14))))),360))</f>
        <v>25.742210246966</v>
      </c>
    </row>
    <row r="15" customFormat="false" ht="15" hidden="false" customHeight="false" outlineLevel="0" collapsed="false">
      <c r="D15" s="6" t="n">
        <f aca="false">$B$7</f>
        <v>44886</v>
      </c>
      <c r="E15" s="7" t="n">
        <f aca="false">E14+0.1/24</f>
        <v>0.0583333333333333</v>
      </c>
      <c r="F15" s="8" t="n">
        <f aca="false">D15+2415018.5+E15-$B$5/24</f>
        <v>2459904.51666667</v>
      </c>
      <c r="G15" s="9" t="n">
        <f aca="false">(F15-2451545)/36525</f>
        <v>0.228871092858771</v>
      </c>
      <c r="I15" s="0" t="n">
        <f aca="false">MOD(280.46646+G15*(36000.76983+G15*0.0003032),360)</f>
        <v>240.00201063138</v>
      </c>
      <c r="J15" s="0" t="n">
        <f aca="false">357.52911+G15*(35999.05029-0.0001537*G15)</f>
        <v>8596.67108369904</v>
      </c>
      <c r="K15" s="0" t="n">
        <f aca="false">0.016708634-G15*(0.000042037+0.0000001267*G15)</f>
        <v>0.016699006309073</v>
      </c>
      <c r="L15" s="0" t="n">
        <f aca="false">SIN(RADIANS(J15))*(1.914602-G15*(0.004817+0.000014*G15))+SIN(RADIANS(2*J15))*(0.019993-0.000101*G15)+SIN(RADIANS(3*J15))*0.000289</f>
        <v>-1.33317259312136</v>
      </c>
      <c r="M15" s="0" t="n">
        <f aca="false">I15+L15</f>
        <v>238.668838038259</v>
      </c>
      <c r="N15" s="0" t="n">
        <f aca="false">J15+L15</f>
        <v>8595.33791110592</v>
      </c>
      <c r="O15" s="0" t="n">
        <f aca="false">(1.000001018*(1-K15*K15))/(1+K15*COS(RADIANS(N15)))</f>
        <v>0.987987424922345</v>
      </c>
      <c r="P15" s="0" t="n">
        <f aca="false">M15-0.00569-0.00478*SIN(RADIANS(125.04-1934.136*G15))</f>
        <v>238.659926587134</v>
      </c>
      <c r="Q15" s="0" t="n">
        <f aca="false">23+(26+((21.448-G15*(46.815+G15*(0.00059-G15*0.001813))))/60)/60</f>
        <v>23.4363148307272</v>
      </c>
      <c r="R15" s="0" t="n">
        <f aca="false">Q15+0.00256*COS(RADIANS(125.04-1934.136*G15))</f>
        <v>23.4382061143424</v>
      </c>
      <c r="S15" s="0" t="n">
        <f aca="false">DEGREES(ATAN2(COS(RADIANS(P15)),COS(RADIANS(R15))*SIN(RADIANS(P15))))</f>
        <v>-123.573532895928</v>
      </c>
      <c r="T15" s="0" t="n">
        <f aca="false">DEGREES(ASIN(SIN(RADIANS(R15))*SIN(RADIANS(P15))))</f>
        <v>-19.8601049577875</v>
      </c>
      <c r="U15" s="0" t="n">
        <f aca="false">TAN(RADIANS(R15/2))*TAN(RADIANS(R15/2))</f>
        <v>0.0430304319347113</v>
      </c>
      <c r="V15" s="0" t="n">
        <f aca="false">4*DEGREES(U15*SIN(2*RADIANS(I15))-2*K15*SIN(RADIANS(J15))+4*K15*U15*SIN(RADIANS(J15))*COS(2*RADIANS(I15))-0.5*U15*U15*SIN(4*RADIANS(I15))-1.25*K15*K15*SIN(2*RADIANS(J15)))</f>
        <v>14.282060914432</v>
      </c>
      <c r="W15" s="0" t="n">
        <f aca="false">DEGREES(ACOS(COS(RADIANS(90.833))/(COS(RADIANS($B$3))*COS(RADIANS(T15)))-TAN(RADIANS($B$3))*TAN(RADIANS(T15))))</f>
        <v>43.9230382979407</v>
      </c>
      <c r="X15" s="7" t="n">
        <f aca="false">(720-4*$B$4-V15+$B$5*60)/1440</f>
        <v>0.499818013253867</v>
      </c>
      <c r="Y15" s="7" t="n">
        <f aca="false">X15-W15*4/1440</f>
        <v>0.377809573537365</v>
      </c>
      <c r="Z15" s="7" t="n">
        <f aca="false">X15+W15*4/1440</f>
        <v>0.621826452970369</v>
      </c>
      <c r="AA15" s="10" t="n">
        <f aca="false">8*W15</f>
        <v>351.384306383526</v>
      </c>
      <c r="AB15" s="0" t="n">
        <f aca="false">MOD(E15*1440+V15+4*$B$4-60*$B$5,1440)</f>
        <v>84.262060914432</v>
      </c>
      <c r="AC15" s="0" t="n">
        <f aca="false">IF(AB15/4&lt;0,AB15/4+180,AB15/4-180)</f>
        <v>-158.934484771392</v>
      </c>
      <c r="AD15" s="0" t="n">
        <f aca="false">DEGREES(ACOS(SIN(RADIANS($B$3))*SIN(RADIANS(T15))+COS(RADIANS($B$3))*COS(RADIANS(T15))*COS(RADIANS(AC15))))</f>
        <v>133.22461826453</v>
      </c>
      <c r="AE15" s="0" t="n">
        <f aca="false">90-AD15</f>
        <v>-43.2246182645304</v>
      </c>
      <c r="AF15" s="0" t="n">
        <f aca="false">IF(AE15&gt;85,0,IF(AE15&gt;5,58.1/TAN(RADIANS(AE15))-0.07/POWER(TAN(RADIANS(AE15)),3)+0.000086/POWER(TAN(RADIANS(AE15)),5),IF(AE15&gt;-0.575,1735+AE15*(-518.2+AE15*(103.4+AE15*(-12.79+AE15*0.711))),-20.772/TAN(RADIANS(AE15)))))/3600</f>
        <v>0.00613913775002379</v>
      </c>
      <c r="AG15" s="0" t="n">
        <f aca="false">AE15+AF15</f>
        <v>-43.2184791267803</v>
      </c>
      <c r="AH15" s="0" t="n">
        <f aca="false">IF(AC15&gt;0,MOD(DEGREES(ACOS(((SIN(RADIANS($B$3))*COS(RADIANS(AD15)))-SIN(RADIANS(T15)))/(COS(RADIANS($B$3))*SIN(RADIANS(AD15)))))+180,360),MOD(540-DEGREES(ACOS(((SIN(RADIANS($B$3))*COS(RADIANS(AD15)))-SIN(RADIANS(T15)))/(COS(RADIANS($B$3))*SIN(RADIANS(AD15))))),360))</f>
        <v>27.6413372495961</v>
      </c>
    </row>
    <row r="16" customFormat="false" ht="15" hidden="false" customHeight="false" outlineLevel="0" collapsed="false">
      <c r="D16" s="6" t="n">
        <f aca="false">$B$7</f>
        <v>44886</v>
      </c>
      <c r="E16" s="7" t="n">
        <f aca="false">E15+0.1/24</f>
        <v>0.0625</v>
      </c>
      <c r="F16" s="8" t="n">
        <f aca="false">D16+2415018.5+E16-$B$5/24</f>
        <v>2459904.52083333</v>
      </c>
      <c r="G16" s="9" t="n">
        <f aca="false">(F16-2451545)/36525</f>
        <v>0.228871206935893</v>
      </c>
      <c r="I16" s="0" t="n">
        <f aca="false">MOD(280.46646+G16*(36000.76983+G16*0.0003032),360)</f>
        <v>240.00611749561</v>
      </c>
      <c r="J16" s="0" t="n">
        <f aca="false">357.52911+G16*(35999.05029-0.0001537*G16)</f>
        <v>8596.67519036709</v>
      </c>
      <c r="K16" s="0" t="n">
        <f aca="false">0.016708634-G16*(0.000042037+0.0000001267*G16)</f>
        <v>0.0166990063042709</v>
      </c>
      <c r="L16" s="0" t="n">
        <f aca="false">SIN(RADIANS(J16))*(1.914602-G16*(0.004817+0.000014*G16))+SIN(RADIANS(2*J16))*(0.019993-0.000101*G16)+SIN(RADIANS(3*J16))*0.000289</f>
        <v>-1.33307269579187</v>
      </c>
      <c r="M16" s="0" t="n">
        <f aca="false">I16+L16</f>
        <v>238.673044799818</v>
      </c>
      <c r="N16" s="0" t="n">
        <f aca="false">J16+L16</f>
        <v>8595.3421176713</v>
      </c>
      <c r="O16" s="0" t="n">
        <f aca="false">(1.000001018*(1-K16*K16))/(1+K16*COS(RADIANS(N16)))</f>
        <v>0.987986583509063</v>
      </c>
      <c r="P16" s="0" t="n">
        <f aca="false">M16-0.00569-0.00478*SIN(RADIANS(125.04-1934.136*G16))</f>
        <v>238.664133362292</v>
      </c>
      <c r="Q16" s="0" t="n">
        <f aca="false">23+(26+((21.448-G16*(46.815+G16*(0.00059-G16*0.001813))))/60)/60</f>
        <v>23.4363148292437</v>
      </c>
      <c r="R16" s="0" t="n">
        <f aca="false">Q16+0.00256*COS(RADIANS(125.04-1934.136*G16))</f>
        <v>23.4382061195028</v>
      </c>
      <c r="S16" s="0" t="n">
        <f aca="false">DEGREES(ATAN2(COS(RADIANS(P16)),COS(RADIANS(R16))*SIN(RADIANS(P16))))</f>
        <v>-123.569169624015</v>
      </c>
      <c r="T16" s="0" t="n">
        <f aca="false">DEGREES(ASIN(SIN(RADIANS(R16))*SIN(RADIANS(P16))))</f>
        <v>-19.8610302474075</v>
      </c>
      <c r="U16" s="0" t="n">
        <f aca="false">TAN(RADIANS(R16/2))*TAN(RADIANS(R16/2))</f>
        <v>0.0430304319541985</v>
      </c>
      <c r="V16" s="0" t="n">
        <f aca="false">4*DEGREES(U16*SIN(2*RADIANS(I16))-2*K16*SIN(RADIANS(J16))+4*K16*U16*SIN(RADIANS(J16))*COS(2*RADIANS(I16))-0.5*U16*U16*SIN(4*RADIANS(I16))-1.25*K16*K16*SIN(2*RADIANS(J16)))</f>
        <v>14.2810234372308</v>
      </c>
      <c r="W16" s="0" t="n">
        <f aca="false">DEGREES(ACOS(COS(RADIANS(90.833))/(COS(RADIANS($B$3))*COS(RADIANS(T16)))-TAN(RADIANS($B$3))*TAN(RADIANS(T16))))</f>
        <v>43.9198989252999</v>
      </c>
      <c r="X16" s="7" t="n">
        <f aca="false">(720-4*$B$4-V16+$B$5*60)/1440</f>
        <v>0.499818733724145</v>
      </c>
      <c r="Y16" s="7" t="n">
        <f aca="false">X16-W16*4/1440</f>
        <v>0.377819014487201</v>
      </c>
      <c r="Z16" s="7" t="n">
        <f aca="false">X16+W16*4/1440</f>
        <v>0.62181845296109</v>
      </c>
      <c r="AA16" s="10" t="n">
        <f aca="false">8*W16</f>
        <v>351.359191402399</v>
      </c>
      <c r="AB16" s="0" t="n">
        <f aca="false">MOD(E16*1440+V16+4*$B$4-60*$B$5,1440)</f>
        <v>90.2610234372308</v>
      </c>
      <c r="AC16" s="0" t="n">
        <f aca="false">IF(AB16/4&lt;0,AB16/4+180,AB16/4-180)</f>
        <v>-157.434744140692</v>
      </c>
      <c r="AD16" s="0" t="n">
        <f aca="false">DEGREES(ACOS(SIN(RADIANS($B$3))*SIN(RADIANS(T16))+COS(RADIANS($B$3))*COS(RADIANS(T16))*COS(RADIANS(AC16))))</f>
        <v>132.916232174045</v>
      </c>
      <c r="AE16" s="0" t="n">
        <f aca="false">90-AD16</f>
        <v>-42.9162321740453</v>
      </c>
      <c r="AF16" s="0" t="n">
        <f aca="false">IF(AE16&gt;85,0,IF(AE16&gt;5,58.1/TAN(RADIANS(AE16))-0.07/POWER(TAN(RADIANS(AE16)),3)+0.000086/POWER(TAN(RADIANS(AE16)),5),IF(AE16&gt;-0.575,1735+AE16*(-518.2+AE16*(103.4+AE16*(-12.79+AE16*0.711))),-20.772/TAN(RADIANS(AE16)))))/3600</f>
        <v>0.0062057328795416</v>
      </c>
      <c r="AG16" s="0" t="n">
        <f aca="false">AE16+AF16</f>
        <v>-42.9100264411658</v>
      </c>
      <c r="AH16" s="0" t="n">
        <f aca="false">IF(AC16&gt;0,MOD(DEGREES(ACOS(((SIN(RADIANS($B$3))*COS(RADIANS(AD16)))-SIN(RADIANS(T16)))/(COS(RADIANS($B$3))*SIN(RADIANS(AD16)))))+180,360),MOD(540-DEGREES(ACOS(((SIN(RADIANS($B$3))*COS(RADIANS(AD16)))-SIN(RADIANS(T16)))/(COS(RADIANS($B$3))*SIN(RADIANS(AD16))))),360))</f>
        <v>29.5255505219882</v>
      </c>
    </row>
    <row r="17" customFormat="false" ht="15" hidden="false" customHeight="false" outlineLevel="0" collapsed="false">
      <c r="D17" s="6" t="n">
        <f aca="false">$B$7</f>
        <v>44886</v>
      </c>
      <c r="E17" s="7" t="n">
        <f aca="false">E16+0.1/24</f>
        <v>0.0666666666666667</v>
      </c>
      <c r="F17" s="8" t="n">
        <f aca="false">D17+2415018.5+E17-$B$5/24</f>
        <v>2459904.525</v>
      </c>
      <c r="G17" s="9" t="n">
        <f aca="false">(F17-2451545)/36525</f>
        <v>0.228871321013015</v>
      </c>
      <c r="I17" s="0" t="n">
        <f aca="false">MOD(280.46646+G17*(36000.76983+G17*0.0003032),360)</f>
        <v>240.010224359841</v>
      </c>
      <c r="J17" s="0" t="n">
        <f aca="false">357.52911+G17*(35999.05029-0.0001537*G17)</f>
        <v>8596.67929703513</v>
      </c>
      <c r="K17" s="0" t="n">
        <f aca="false">0.016708634-G17*(0.000042037+0.0000001267*G17)</f>
        <v>0.0166990062994688</v>
      </c>
      <c r="L17" s="0" t="n">
        <f aca="false">SIN(RADIANS(J17))*(1.914602-G17*(0.004817+0.000014*G17))+SIN(RADIANS(2*J17))*(0.019993-0.000101*G17)+SIN(RADIANS(3*J17))*0.000289</f>
        <v>-1.33297279129775</v>
      </c>
      <c r="M17" s="0" t="n">
        <f aca="false">I17+L17</f>
        <v>238.677251568543</v>
      </c>
      <c r="N17" s="0" t="n">
        <f aca="false">J17+L17</f>
        <v>8595.34632424384</v>
      </c>
      <c r="O17" s="0" t="n">
        <f aca="false">(1.000001018*(1-K17*K17))/(1+K17*COS(RADIANS(N17)))</f>
        <v>0.987985742158297</v>
      </c>
      <c r="P17" s="0" t="n">
        <f aca="false">M17-0.00569-0.00478*SIN(RADIANS(125.04-1934.136*G17))</f>
        <v>238.668340144617</v>
      </c>
      <c r="Q17" s="0" t="n">
        <f aca="false">23+(26+((21.448-G17*(46.815+G17*(0.00059-G17*0.001813))))/60)/60</f>
        <v>23.4363148277603</v>
      </c>
      <c r="R17" s="0" t="n">
        <f aca="false">Q17+0.00256*COS(RADIANS(125.04-1934.136*G17))</f>
        <v>23.4382061246633</v>
      </c>
      <c r="S17" s="0" t="n">
        <f aca="false">DEGREES(ATAN2(COS(RADIANS(P17)),COS(RADIANS(R17))*SIN(RADIANS(P17))))</f>
        <v>-123.564806293764</v>
      </c>
      <c r="T17" s="0" t="n">
        <f aca="false">DEGREES(ASIN(SIN(RADIANS(R17))*SIN(RADIANS(P17))))</f>
        <v>-19.8619554324291</v>
      </c>
      <c r="U17" s="0" t="n">
        <f aca="false">TAN(RADIANS(R17/2))*TAN(RADIANS(R17/2))</f>
        <v>0.0430304319736857</v>
      </c>
      <c r="V17" s="0" t="n">
        <f aca="false">4*DEGREES(U17*SIN(2*RADIANS(I17))-2*K17*SIN(RADIANS(J17))+4*K17*U17*SIN(RADIANS(J17))*COS(2*RADIANS(I17))-0.5*U17*U17*SIN(4*RADIANS(I17))-1.25*K17*K17*SIN(2*RADIANS(J17)))</f>
        <v>14.2799857264686</v>
      </c>
      <c r="W17" s="0" t="n">
        <f aca="false">DEGREES(ACOS(COS(RADIANS(90.833))/(COS(RADIANS($B$3))*COS(RADIANS(T17)))-TAN(RADIANS($B$3))*TAN(RADIANS(T17))))</f>
        <v>43.9167596930897</v>
      </c>
      <c r="X17" s="7" t="n">
        <f aca="false">(720-4*$B$4-V17+$B$5*60)/1440</f>
        <v>0.499819454356619</v>
      </c>
      <c r="Y17" s="7" t="n">
        <f aca="false">X17-W17*4/1440</f>
        <v>0.377828455209148</v>
      </c>
      <c r="Z17" s="7" t="n">
        <f aca="false">X17+W17*4/1440</f>
        <v>0.62181045350409</v>
      </c>
      <c r="AA17" s="10" t="n">
        <f aca="false">8*W17</f>
        <v>351.334077544718</v>
      </c>
      <c r="AB17" s="0" t="n">
        <f aca="false">MOD(E17*1440+V17+4*$B$4-60*$B$5,1440)</f>
        <v>96.2599857264686</v>
      </c>
      <c r="AC17" s="0" t="n">
        <f aca="false">IF(AB17/4&lt;0,AB17/4+180,AB17/4-180)</f>
        <v>-155.935003568383</v>
      </c>
      <c r="AD17" s="0" t="n">
        <f aca="false">DEGREES(ACOS(SIN(RADIANS($B$3))*SIN(RADIANS(T17))+COS(RADIANS($B$3))*COS(RADIANS(T17))*COS(RADIANS(AC17))))</f>
        <v>132.589421319414</v>
      </c>
      <c r="AE17" s="0" t="n">
        <f aca="false">90-AD17</f>
        <v>-42.5894213194138</v>
      </c>
      <c r="AF17" s="0" t="n">
        <f aca="false">IF(AE17&gt;85,0,IF(AE17&gt;5,58.1/TAN(RADIANS(AE17))-0.07/POWER(TAN(RADIANS(AE17)),3)+0.000086/POWER(TAN(RADIANS(AE17)),5),IF(AE17&gt;-0.575,1735+AE17*(-518.2+AE17*(103.4+AE17*(-12.79+AE17*0.711))),-20.772/TAN(RADIANS(AE17)))))/3600</f>
        <v>0.00627715356059459</v>
      </c>
      <c r="AG17" s="0" t="n">
        <f aca="false">AE17+AF17</f>
        <v>-42.5831441658532</v>
      </c>
      <c r="AH17" s="0" t="n">
        <f aca="false">IF(AC17&gt;0,MOD(DEGREES(ACOS(((SIN(RADIANS($B$3))*COS(RADIANS(AD17)))-SIN(RADIANS(T17)))/(COS(RADIANS($B$3))*SIN(RADIANS(AD17)))))+180,360),MOD(540-DEGREES(ACOS(((SIN(RADIANS($B$3))*COS(RADIANS(AD17)))-SIN(RADIANS(T17)))/(COS(RADIANS($B$3))*SIN(RADIANS(AD17))))),360))</f>
        <v>31.3942684075791</v>
      </c>
    </row>
    <row r="18" customFormat="false" ht="15" hidden="false" customHeight="false" outlineLevel="0" collapsed="false">
      <c r="D18" s="6" t="n">
        <f aca="false">$B$7</f>
        <v>44886</v>
      </c>
      <c r="E18" s="7" t="n">
        <f aca="false">E17+0.1/24</f>
        <v>0.0708333333333333</v>
      </c>
      <c r="F18" s="8" t="n">
        <f aca="false">D18+2415018.5+E18-$B$5/24</f>
        <v>2459904.52916667</v>
      </c>
      <c r="G18" s="9" t="n">
        <f aca="false">(F18-2451545)/36525</f>
        <v>0.228871435090124</v>
      </c>
      <c r="I18" s="0" t="n">
        <f aca="false">MOD(280.46646+G18*(36000.76983+G18*0.0003032),360)</f>
        <v>240.014331223612</v>
      </c>
      <c r="J18" s="0" t="n">
        <f aca="false">357.52911+G18*(35999.05029-0.0001537*G18)</f>
        <v>8596.68340370272</v>
      </c>
      <c r="K18" s="0" t="n">
        <f aca="false">0.016708634-G18*(0.000042037+0.0000001267*G18)</f>
        <v>0.0166990062946668</v>
      </c>
      <c r="L18" s="0" t="n">
        <f aca="false">SIN(RADIANS(J18))*(1.914602-G18*(0.004817+0.000014*G18))+SIN(RADIANS(2*J18))*(0.019993-0.000101*G18)+SIN(RADIANS(3*J18))*0.000289</f>
        <v>-1.33287287965061</v>
      </c>
      <c r="M18" s="0" t="n">
        <f aca="false">I18+L18</f>
        <v>238.681458343962</v>
      </c>
      <c r="N18" s="0" t="n">
        <f aca="false">J18+L18</f>
        <v>8595.35053082307</v>
      </c>
      <c r="O18" s="0" t="n">
        <f aca="false">(1.000001018*(1-K18*K18))/(1+K18*COS(RADIANS(N18)))</f>
        <v>0.987984900870146</v>
      </c>
      <c r="P18" s="0" t="n">
        <f aca="false">M18-0.00569-0.00478*SIN(RADIANS(125.04-1934.136*G18))</f>
        <v>238.672546933634</v>
      </c>
      <c r="Q18" s="0" t="n">
        <f aca="false">23+(26+((21.448-G18*(46.815+G18*(0.00059-G18*0.001813))))/60)/60</f>
        <v>23.4363148262768</v>
      </c>
      <c r="R18" s="0" t="n">
        <f aca="false">Q18+0.00256*COS(RADIANS(125.04-1934.136*G18))</f>
        <v>23.4382061298237</v>
      </c>
      <c r="S18" s="0" t="n">
        <f aca="false">DEGREES(ATAN2(COS(RADIANS(P18)),COS(RADIANS(R18))*SIN(RADIANS(P18))))</f>
        <v>-123.560442905669</v>
      </c>
      <c r="T18" s="0" t="n">
        <f aca="false">DEGREES(ASIN(SIN(RADIANS(R18))*SIN(RADIANS(P18))))</f>
        <v>-19.862880512741</v>
      </c>
      <c r="U18" s="0" t="n">
        <f aca="false">TAN(RADIANS(R18/2))*TAN(RADIANS(R18/2))</f>
        <v>0.0430304319931727</v>
      </c>
      <c r="V18" s="0" t="n">
        <f aca="false">4*DEGREES(U18*SIN(2*RADIANS(I18))-2*K18*SIN(RADIANS(J18))+4*K18*U18*SIN(RADIANS(J18))*COS(2*RADIANS(I18))-0.5*U18*U18*SIN(4*RADIANS(I18))-1.25*K18*K18*SIN(2*RADIANS(J18)))</f>
        <v>14.278947782275</v>
      </c>
      <c r="W18" s="0" t="n">
        <f aca="false">DEGREES(ACOS(COS(RADIANS(90.833))/(COS(RADIANS($B$3))*COS(RADIANS(T18)))-TAN(RADIANS($B$3))*TAN(RADIANS(T18))))</f>
        <v>43.9136206017122</v>
      </c>
      <c r="X18" s="7" t="n">
        <f aca="false">(720-4*$B$4-V18+$B$5*60)/1440</f>
        <v>0.499820175151198</v>
      </c>
      <c r="Y18" s="7" t="n">
        <f aca="false">X18-W18*4/1440</f>
        <v>0.377837895701997</v>
      </c>
      <c r="Z18" s="7" t="n">
        <f aca="false">X18+W18*4/1440</f>
        <v>0.621802454600398</v>
      </c>
      <c r="AA18" s="10" t="n">
        <f aca="false">8*W18</f>
        <v>351.308964813698</v>
      </c>
      <c r="AB18" s="0" t="n">
        <f aca="false">MOD(E18*1440+V18+4*$B$4-60*$B$5,1440)</f>
        <v>102.258947782275</v>
      </c>
      <c r="AC18" s="0" t="n">
        <f aca="false">IF(AB18/4&lt;0,AB18/4+180,AB18/4-180)</f>
        <v>-154.435263054431</v>
      </c>
      <c r="AD18" s="0" t="n">
        <f aca="false">DEGREES(ACOS(SIN(RADIANS($B$3))*SIN(RADIANS(T18))+COS(RADIANS($B$3))*COS(RADIANS(T18))*COS(RADIANS(AC18))))</f>
        <v>132.244687258951</v>
      </c>
      <c r="AE18" s="0" t="n">
        <f aca="false">90-AD18</f>
        <v>-42.2446872589505</v>
      </c>
      <c r="AF18" s="0" t="n">
        <f aca="false">IF(AE18&gt;85,0,IF(AE18&gt;5,58.1/TAN(RADIANS(AE18))-0.07/POWER(TAN(RADIANS(AE18)),3)+0.000086/POWER(TAN(RADIANS(AE18)),5),IF(AE18&gt;-0.575,1735+AE18*(-518.2+AE18*(103.4+AE18*(-12.79+AE18*0.711))),-20.772/TAN(RADIANS(AE18)))))/3600</f>
        <v>0.00635345820063546</v>
      </c>
      <c r="AG18" s="0" t="n">
        <f aca="false">AE18+AF18</f>
        <v>-42.2383338007499</v>
      </c>
      <c r="AH18" s="0" t="n">
        <f aca="false">IF(AC18&gt;0,MOD(DEGREES(ACOS(((SIN(RADIANS($B$3))*COS(RADIANS(AD18)))-SIN(RADIANS(T18)))/(COS(RADIANS($B$3))*SIN(RADIANS(AD18)))))+180,360),MOD(540-DEGREES(ACOS(((SIN(RADIANS($B$3))*COS(RADIANS(AD18)))-SIN(RADIANS(T18)))/(COS(RADIANS($B$3))*SIN(RADIANS(AD18))))),360))</f>
        <v>33.2469859039262</v>
      </c>
    </row>
    <row r="19" customFormat="false" ht="15" hidden="false" customHeight="false" outlineLevel="0" collapsed="false">
      <c r="D19" s="6" t="n">
        <f aca="false">$B$7</f>
        <v>44886</v>
      </c>
      <c r="E19" s="7" t="n">
        <f aca="false">E18+0.1/24</f>
        <v>0.075</v>
      </c>
      <c r="F19" s="8" t="n">
        <f aca="false">D19+2415018.5+E19-$B$5/24</f>
        <v>2459904.53333333</v>
      </c>
      <c r="G19" s="9" t="n">
        <f aca="false">(F19-2451545)/36525</f>
        <v>0.228871549167246</v>
      </c>
      <c r="I19" s="0" t="n">
        <f aca="false">MOD(280.46646+G19*(36000.76983+G19*0.0003032),360)</f>
        <v>240.018438087844</v>
      </c>
      <c r="J19" s="0" t="n">
        <f aca="false">357.52911+G19*(35999.05029-0.0001537*G19)</f>
        <v>8596.68751037077</v>
      </c>
      <c r="K19" s="0" t="n">
        <f aca="false">0.016708634-G19*(0.000042037+0.0000001267*G19)</f>
        <v>0.0166990062898647</v>
      </c>
      <c r="L19" s="0" t="n">
        <f aca="false">SIN(RADIANS(J19))*(1.914602-G19*(0.004817+0.000014*G19))+SIN(RADIANS(2*J19))*(0.019993-0.000101*G19)+SIN(RADIANS(3*J19))*0.000289</f>
        <v>-1.33277296082869</v>
      </c>
      <c r="M19" s="0" t="n">
        <f aca="false">I19+L19</f>
        <v>238.685665127015</v>
      </c>
      <c r="N19" s="0" t="n">
        <f aca="false">J19+L19</f>
        <v>8595.35473740994</v>
      </c>
      <c r="O19" s="0" t="n">
        <f aca="false">(1.000001018*(1-K19*K19))/(1+K19*COS(RADIANS(N19)))</f>
        <v>0.987984059644426</v>
      </c>
      <c r="P19" s="0" t="n">
        <f aca="false">M19-0.00569-0.00478*SIN(RADIANS(125.04-1934.136*G19))</f>
        <v>238.676753730287</v>
      </c>
      <c r="Q19" s="0" t="n">
        <f aca="false">23+(26+((21.448-G19*(46.815+G19*(0.00059-G19*0.001813))))/60)/60</f>
        <v>23.4363148247933</v>
      </c>
      <c r="R19" s="0" t="n">
        <f aca="false">Q19+0.00256*COS(RADIANS(125.04-1934.136*G19))</f>
        <v>23.4382061349841</v>
      </c>
      <c r="S19" s="0" t="n">
        <f aca="false">DEGREES(ATAN2(COS(RADIANS(P19)),COS(RADIANS(R19))*SIN(RADIANS(P19))))</f>
        <v>-123.556079458756</v>
      </c>
      <c r="T19" s="0" t="n">
        <f aca="false">DEGREES(ASIN(SIN(RADIANS(R19))*SIN(RADIANS(P19))))</f>
        <v>-19.8638054885433</v>
      </c>
      <c r="U19" s="0" t="n">
        <f aca="false">TAN(RADIANS(R19/2))*TAN(RADIANS(R19/2))</f>
        <v>0.0430304320126597</v>
      </c>
      <c r="V19" s="0" t="n">
        <f aca="false">4*DEGREES(U19*SIN(2*RADIANS(I19))-2*K19*SIN(RADIANS(J19))+4*K19*U19*SIN(RADIANS(J19))*COS(2*RADIANS(I19))-0.5*U19*U19*SIN(4*RADIANS(I19))-1.25*K19*K19*SIN(2*RADIANS(J19)))</f>
        <v>14.277909604431</v>
      </c>
      <c r="W19" s="0" t="n">
        <f aca="false">DEGREES(ACOS(COS(RADIANS(90.833))/(COS(RADIANS($B$3))*COS(RADIANS(T19)))-TAN(RADIANS($B$3))*TAN(RADIANS(T19))))</f>
        <v>43.9104816505132</v>
      </c>
      <c r="X19" s="7" t="n">
        <f aca="false">(720-4*$B$4-V19+$B$5*60)/1440</f>
        <v>0.499820896108034</v>
      </c>
      <c r="Y19" s="7" t="n">
        <f aca="false">X19-W19*4/1440</f>
        <v>0.37784733596772</v>
      </c>
      <c r="Z19" s="7" t="n">
        <f aca="false">X19+W19*4/1440</f>
        <v>0.621794456248348</v>
      </c>
      <c r="AA19" s="10" t="n">
        <f aca="false">8*W19</f>
        <v>351.283853204105</v>
      </c>
      <c r="AB19" s="0" t="n">
        <f aca="false">MOD(E19*1440+V19+4*$B$4-60*$B$5,1440)</f>
        <v>108.257909604431</v>
      </c>
      <c r="AC19" s="0" t="n">
        <f aca="false">IF(AB19/4&lt;0,AB19/4+180,AB19/4-180)</f>
        <v>-152.935522598892</v>
      </c>
      <c r="AD19" s="0" t="n">
        <f aca="false">DEGREES(ACOS(SIN(RADIANS($B$3))*SIN(RADIANS(T19))+COS(RADIANS($B$3))*COS(RADIANS(T19))*COS(RADIANS(AC19))))</f>
        <v>131.882545811574</v>
      </c>
      <c r="AE19" s="0" t="n">
        <f aca="false">90-AD19</f>
        <v>-41.882545811574</v>
      </c>
      <c r="AF19" s="0" t="n">
        <f aca="false">IF(AE19&gt;85,0,IF(AE19&gt;5,58.1/TAN(RADIANS(AE19))-0.07/POWER(TAN(RADIANS(AE19)),3)+0.000086/POWER(TAN(RADIANS(AE19)),5),IF(AE19&gt;-0.575,1735+AE19*(-518.2+AE19*(103.4+AE19*(-12.79+AE19*0.711))),-20.772/TAN(RADIANS(AE19)))))/3600</f>
        <v>0.00643471252895206</v>
      </c>
      <c r="AG19" s="0" t="n">
        <f aca="false">AE19+AF19</f>
        <v>-41.8761110990451</v>
      </c>
      <c r="AH19" s="0" t="n">
        <f aca="false">IF(AC19&gt;0,MOD(DEGREES(ACOS(((SIN(RADIANS($B$3))*COS(RADIANS(AD19)))-SIN(RADIANS(T19)))/(COS(RADIANS($B$3))*SIN(RADIANS(AD19)))))+180,360),MOD(540-DEGREES(ACOS(((SIN(RADIANS($B$3))*COS(RADIANS(AD19)))-SIN(RADIANS(T19)))/(COS(RADIANS($B$3))*SIN(RADIANS(AD19))))),360))</f>
        <v>35.0832736722324</v>
      </c>
    </row>
    <row r="20" customFormat="false" ht="15" hidden="false" customHeight="false" outlineLevel="0" collapsed="false">
      <c r="D20" s="6" t="n">
        <f aca="false">$B$7</f>
        <v>44886</v>
      </c>
      <c r="E20" s="7" t="n">
        <f aca="false">E19+0.1/24</f>
        <v>0.0791666666666667</v>
      </c>
      <c r="F20" s="8" t="n">
        <f aca="false">D20+2415018.5+E20-$B$5/24</f>
        <v>2459904.5375</v>
      </c>
      <c r="G20" s="9" t="n">
        <f aca="false">(F20-2451545)/36525</f>
        <v>0.228871663244356</v>
      </c>
      <c r="I20" s="0" t="n">
        <f aca="false">MOD(280.46646+G20*(36000.76983+G20*0.0003032),360)</f>
        <v>240.022544951615</v>
      </c>
      <c r="J20" s="0" t="n">
        <f aca="false">357.52911+G20*(35999.05029-0.0001537*G20)</f>
        <v>8596.69161703836</v>
      </c>
      <c r="K20" s="0" t="n">
        <f aca="false">0.016708634-G20*(0.000042037+0.0000001267*G20)</f>
        <v>0.0166990062850626</v>
      </c>
      <c r="L20" s="0" t="n">
        <f aca="false">SIN(RADIANS(J20))*(1.914602-G20*(0.004817+0.000014*G20))+SIN(RADIANS(2*J20))*(0.019993-0.000101*G20)+SIN(RADIANS(3*J20))*0.000289</f>
        <v>-1.33267303485478</v>
      </c>
      <c r="M20" s="0" t="n">
        <f aca="false">I20+L20</f>
        <v>238.68987191676</v>
      </c>
      <c r="N20" s="0" t="n">
        <f aca="false">J20+L20</f>
        <v>8595.3589440035</v>
      </c>
      <c r="O20" s="0" t="n">
        <f aca="false">(1.000001018*(1-K20*K20))/(1+K20*COS(RADIANS(N20)))</f>
        <v>0.987983218481329</v>
      </c>
      <c r="P20" s="0" t="n">
        <f aca="false">M20-0.00569-0.00478*SIN(RADIANS(125.04-1934.136*G20))</f>
        <v>238.680960533631</v>
      </c>
      <c r="Q20" s="0" t="n">
        <f aca="false">23+(26+((21.448-G20*(46.815+G20*(0.00059-G20*0.001813))))/60)/60</f>
        <v>23.4363148233098</v>
      </c>
      <c r="R20" s="0" t="n">
        <f aca="false">Q20+0.00256*COS(RADIANS(125.04-1934.136*G20))</f>
        <v>23.4382061401444</v>
      </c>
      <c r="S20" s="0" t="n">
        <f aca="false">DEGREES(ATAN2(COS(RADIANS(P20)),COS(RADIANS(R20))*SIN(RADIANS(P20))))</f>
        <v>-123.551715954005</v>
      </c>
      <c r="T20" s="0" t="n">
        <f aca="false">DEGREES(ASIN(SIN(RADIANS(R20))*SIN(RADIANS(P20))))</f>
        <v>-19.8647303596213</v>
      </c>
      <c r="U20" s="0" t="n">
        <f aca="false">TAN(RADIANS(R20/2))*TAN(RADIANS(R20/2))</f>
        <v>0.0430304320321465</v>
      </c>
      <c r="V20" s="0" t="n">
        <f aca="false">4*DEGREES(U20*SIN(2*RADIANS(I20))-2*K20*SIN(RADIANS(J20))+4*K20*U20*SIN(RADIANS(J20))*COS(2*RADIANS(I20))-0.5*U20*U20*SIN(4*RADIANS(I20))-1.25*K20*K20*SIN(2*RADIANS(J20)))</f>
        <v>14.276871193182</v>
      </c>
      <c r="W20" s="0" t="n">
        <f aca="false">DEGREES(ACOS(COS(RADIANS(90.833))/(COS(RADIANS($B$3))*COS(RADIANS(T20)))-TAN(RADIANS($B$3))*TAN(RADIANS(T20))))</f>
        <v>43.9073428402449</v>
      </c>
      <c r="X20" s="7" t="n">
        <f aca="false">(720-4*$B$4-V20+$B$5*60)/1440</f>
        <v>0.499821617226957</v>
      </c>
      <c r="Y20" s="7" t="n">
        <f aca="false">X20-W20*4/1440</f>
        <v>0.377856776004054</v>
      </c>
      <c r="Z20" s="7" t="n">
        <f aca="false">X20+W20*4/1440</f>
        <v>0.62178645844986</v>
      </c>
      <c r="AA20" s="10" t="n">
        <f aca="false">8*W20</f>
        <v>351.258742721959</v>
      </c>
      <c r="AB20" s="0" t="n">
        <f aca="false">MOD(E20*1440+V20+4*$B$4-60*$B$5,1440)</f>
        <v>114.256871193182</v>
      </c>
      <c r="AC20" s="0" t="n">
        <f aca="false">IF(AB20/4&lt;0,AB20/4+180,AB20/4-180)</f>
        <v>-151.435782201704</v>
      </c>
      <c r="AD20" s="0" t="n">
        <f aca="false">DEGREES(ACOS(SIN(RADIANS($B$3))*SIN(RADIANS(T20))+COS(RADIANS($B$3))*COS(RADIANS(T20))*COS(RADIANS(AC20))))</f>
        <v>131.503524743903</v>
      </c>
      <c r="AE20" s="0" t="n">
        <f aca="false">90-AD20</f>
        <v>-41.5035247439035</v>
      </c>
      <c r="AF20" s="0" t="n">
        <f aca="false">IF(AE20&gt;85,0,IF(AE20&gt;5,58.1/TAN(RADIANS(AE20))-0.07/POWER(TAN(RADIANS(AE20)),3)+0.000086/POWER(TAN(RADIANS(AE20)),5),IF(AE20&gt;-0.575,1735+AE20*(-518.2+AE20*(103.4+AE20*(-12.79+AE20*0.711))),-20.772/TAN(RADIANS(AE20)))))/3600</f>
        <v>0.00652099021842099</v>
      </c>
      <c r="AG20" s="0" t="n">
        <f aca="false">AE20+AF20</f>
        <v>-41.4970037536851</v>
      </c>
      <c r="AH20" s="0" t="n">
        <f aca="false">IF(AC20&gt;0,MOD(DEGREES(ACOS(((SIN(RADIANS($B$3))*COS(RADIANS(AD20)))-SIN(RADIANS(T20)))/(COS(RADIANS($B$3))*SIN(RADIANS(AD20)))))+180,360),MOD(540-DEGREES(ACOS(((SIN(RADIANS($B$3))*COS(RADIANS(AD20)))-SIN(RADIANS(T20)))/(COS(RADIANS($B$3))*SIN(RADIANS(AD20))))),360))</f>
        <v>36.9027764386195</v>
      </c>
    </row>
    <row r="21" customFormat="false" ht="15" hidden="false" customHeight="false" outlineLevel="0" collapsed="false">
      <c r="D21" s="6" t="n">
        <f aca="false">$B$7</f>
        <v>44886</v>
      </c>
      <c r="E21" s="7" t="n">
        <f aca="false">E20+0.1/24</f>
        <v>0.0833333333333333</v>
      </c>
      <c r="F21" s="8" t="n">
        <f aca="false">D21+2415018.5+E21-$B$5/24</f>
        <v>2459904.54166667</v>
      </c>
      <c r="G21" s="9" t="n">
        <f aca="false">(F21-2451545)/36525</f>
        <v>0.228871777321478</v>
      </c>
      <c r="I21" s="0" t="n">
        <f aca="false">MOD(280.46646+G21*(36000.76983+G21*0.0003032),360)</f>
        <v>240.026651815846</v>
      </c>
      <c r="J21" s="0" t="n">
        <f aca="false">357.52911+G21*(35999.05029-0.0001537*G21)</f>
        <v>8596.6957237064</v>
      </c>
      <c r="K21" s="0" t="n">
        <f aca="false">0.016708634-G21*(0.000042037+0.0000001267*G21)</f>
        <v>0.0166990062802605</v>
      </c>
      <c r="L21" s="0" t="n">
        <f aca="false">SIN(RADIANS(J21))*(1.914602-G21*(0.004817+0.000014*G21))+SIN(RADIANS(2*J21))*(0.019993-0.000101*G21)+SIN(RADIANS(3*J21))*0.000289</f>
        <v>-1.33257310170709</v>
      </c>
      <c r="M21" s="0" t="n">
        <f aca="false">I21+L21</f>
        <v>238.694078714139</v>
      </c>
      <c r="N21" s="0" t="n">
        <f aca="false">J21+L21</f>
        <v>8595.3631506047</v>
      </c>
      <c r="O21" s="0" t="n">
        <f aca="false">(1.000001018*(1-K21*K21))/(1+K21*COS(RADIANS(N21)))</f>
        <v>0.987982377380673</v>
      </c>
      <c r="P21" s="0" t="n">
        <f aca="false">M21-0.00569-0.00478*SIN(RADIANS(125.04-1934.136*G21))</f>
        <v>238.685167344609</v>
      </c>
      <c r="Q21" s="0" t="n">
        <f aca="false">23+(26+((21.448-G21*(46.815+G21*(0.00059-G21*0.001813))))/60)/60</f>
        <v>23.4363148218264</v>
      </c>
      <c r="R21" s="0" t="n">
        <f aca="false">Q21+0.00256*COS(RADIANS(125.04-1934.136*G21))</f>
        <v>23.4382061453047</v>
      </c>
      <c r="S21" s="0" t="n">
        <f aca="false">DEGREES(ATAN2(COS(RADIANS(P21)),COS(RADIANS(R21))*SIN(RADIANS(P21))))</f>
        <v>-123.547352390441</v>
      </c>
      <c r="T21" s="0" t="n">
        <f aca="false">DEGREES(ASIN(SIN(RADIANS(R21))*SIN(RADIANS(P21))))</f>
        <v>-19.8656551261752</v>
      </c>
      <c r="U21" s="0" t="n">
        <f aca="false">TAN(RADIANS(R21/2))*TAN(RADIANS(R21/2))</f>
        <v>0.0430304320516332</v>
      </c>
      <c r="V21" s="0" t="n">
        <f aca="false">4*DEGREES(U21*SIN(2*RADIANS(I21))-2*K21*SIN(RADIANS(J21))+4*K21*U21*SIN(RADIANS(J21))*COS(2*RADIANS(I21))-0.5*U21*U21*SIN(4*RADIANS(I21))-1.25*K21*K21*SIN(2*RADIANS(J21)))</f>
        <v>14.275832548309</v>
      </c>
      <c r="W21" s="0" t="n">
        <f aca="false">DEGREES(ACOS(COS(RADIANS(90.833))/(COS(RADIANS($B$3))*COS(RADIANS(T21)))-TAN(RADIANS($B$3))*TAN(RADIANS(T21))))</f>
        <v>43.9042041702533</v>
      </c>
      <c r="X21" s="7" t="n">
        <f aca="false">(720-4*$B$4-V21+$B$5*60)/1440</f>
        <v>0.499822338508119</v>
      </c>
      <c r="Y21" s="7" t="n">
        <f aca="false">X21-W21*4/1440</f>
        <v>0.377866215812971</v>
      </c>
      <c r="Z21" s="7" t="n">
        <f aca="false">X21+W21*4/1440</f>
        <v>0.621778461203267</v>
      </c>
      <c r="AA21" s="10" t="n">
        <f aca="false">8*W21</f>
        <v>351.233633362026</v>
      </c>
      <c r="AB21" s="0" t="n">
        <f aca="false">MOD(E21*1440+V21+4*$B$4-60*$B$5,1440)</f>
        <v>120.255832548309</v>
      </c>
      <c r="AC21" s="0" t="n">
        <f aca="false">IF(AB21/4&lt;0,AB21/4+180,AB21/4-180)</f>
        <v>-149.936041862923</v>
      </c>
      <c r="AD21" s="0" t="n">
        <f aca="false">DEGREES(ACOS(SIN(RADIANS($B$3))*SIN(RADIANS(T21))+COS(RADIANS($B$3))*COS(RADIANS(T21))*COS(RADIANS(AC21))))</f>
        <v>131.108161555067</v>
      </c>
      <c r="AE21" s="0" t="n">
        <f aca="false">90-AD21</f>
        <v>-41.1081615550673</v>
      </c>
      <c r="AF21" s="0" t="n">
        <f aca="false">IF(AE21&gt;85,0,IF(AE21&gt;5,58.1/TAN(RADIANS(AE21))-0.07/POWER(TAN(RADIANS(AE21)),3)+0.000086/POWER(TAN(RADIANS(AE21)),5),IF(AE21&gt;-0.575,1735+AE21*(-518.2+AE21*(103.4+AE21*(-12.79+AE21*0.711))),-20.772/TAN(RADIANS(AE21)))))/3600</f>
        <v>0.00661237354125209</v>
      </c>
      <c r="AG21" s="0" t="n">
        <f aca="false">AE21+AF21</f>
        <v>-41.1015491815261</v>
      </c>
      <c r="AH21" s="0" t="n">
        <f aca="false">IF(AC21&gt;0,MOD(DEGREES(ACOS(((SIN(RADIANS($B$3))*COS(RADIANS(AD21)))-SIN(RADIANS(T21)))/(COS(RADIANS($B$3))*SIN(RADIANS(AD21)))))+180,360),MOD(540-DEGREES(ACOS(((SIN(RADIANS($B$3))*COS(RADIANS(AD21)))-SIN(RADIANS(T21)))/(COS(RADIANS($B$3))*SIN(RADIANS(AD21))))),360))</f>
        <v>38.7052108621993</v>
      </c>
    </row>
    <row r="22" customFormat="false" ht="15" hidden="false" customHeight="false" outlineLevel="0" collapsed="false">
      <c r="D22" s="6" t="n">
        <f aca="false">$B$7</f>
        <v>44886</v>
      </c>
      <c r="E22" s="7" t="n">
        <f aca="false">E21+0.1/24</f>
        <v>0.0875</v>
      </c>
      <c r="F22" s="8" t="n">
        <f aca="false">D22+2415018.5+E22-$B$5/24</f>
        <v>2459904.54583333</v>
      </c>
      <c r="G22" s="9" t="n">
        <f aca="false">(F22-2451545)/36525</f>
        <v>0.228871891398587</v>
      </c>
      <c r="I22" s="0" t="n">
        <f aca="false">MOD(280.46646+G22*(36000.76983+G22*0.0003032),360)</f>
        <v>240.030758679619</v>
      </c>
      <c r="J22" s="0" t="n">
        <f aca="false">357.52911+G22*(35999.05029-0.0001537*G22)</f>
        <v>8596.69983037399</v>
      </c>
      <c r="K22" s="0" t="n">
        <f aca="false">0.016708634-G22*(0.000042037+0.0000001267*G22)</f>
        <v>0.0166990062754585</v>
      </c>
      <c r="L22" s="0" t="n">
        <f aca="false">SIN(RADIANS(J22))*(1.914602-G22*(0.004817+0.000014*G22))+SIN(RADIANS(2*J22))*(0.019993-0.000101*G22)+SIN(RADIANS(3*J22))*0.000289</f>
        <v>-1.33247316140847</v>
      </c>
      <c r="M22" s="0" t="n">
        <f aca="false">I22+L22</f>
        <v>238.69828551821</v>
      </c>
      <c r="N22" s="0" t="n">
        <f aca="false">J22+L22</f>
        <v>8595.36735721258</v>
      </c>
      <c r="O22" s="0" t="n">
        <f aca="false">(1.000001018*(1-K22*K22))/(1+K22*COS(RADIANS(N22)))</f>
        <v>0.98798153634265</v>
      </c>
      <c r="P22" s="0" t="n">
        <f aca="false">M22-0.00569-0.00478*SIN(RADIANS(125.04-1934.136*G22))</f>
        <v>238.68937416228</v>
      </c>
      <c r="Q22" s="0" t="n">
        <f aca="false">23+(26+((21.448-G22*(46.815+G22*(0.00059-G22*0.001813))))/60)/60</f>
        <v>23.4363148203429</v>
      </c>
      <c r="R22" s="0" t="n">
        <f aca="false">Q22+0.00256*COS(RADIANS(125.04-1934.136*G22))</f>
        <v>23.438206150465</v>
      </c>
      <c r="S22" s="0" t="n">
        <f aca="false">DEGREES(ATAN2(COS(RADIANS(P22)),COS(RADIANS(R22))*SIN(RADIANS(P22))))</f>
        <v>-123.542988769044</v>
      </c>
      <c r="T22" s="0" t="n">
        <f aca="false">DEGREES(ASIN(SIN(RADIANS(R22))*SIN(RADIANS(P22))))</f>
        <v>-19.8665797879907</v>
      </c>
      <c r="U22" s="0" t="n">
        <f aca="false">TAN(RADIANS(R22/2))*TAN(RADIANS(R22/2))</f>
        <v>0.0430304320711198</v>
      </c>
      <c r="V22" s="0" t="n">
        <f aca="false">4*DEGREES(U22*SIN(2*RADIANS(I22))-2*K22*SIN(RADIANS(J22))+4*K22*U22*SIN(RADIANS(J22))*COS(2*RADIANS(I22))-0.5*U22*U22*SIN(4*RADIANS(I22))-1.25*K22*K22*SIN(2*RADIANS(J22)))</f>
        <v>14.2747936700574</v>
      </c>
      <c r="W22" s="0" t="n">
        <f aca="false">DEGREES(ACOS(COS(RADIANS(90.833))/(COS(RADIANS($B$3))*COS(RADIANS(T22)))-TAN(RADIANS($B$3))*TAN(RADIANS(T22))))</f>
        <v>43.9010656412894</v>
      </c>
      <c r="X22" s="7" t="n">
        <f aca="false">(720-4*$B$4-V22+$B$5*60)/1440</f>
        <v>0.499823059951349</v>
      </c>
      <c r="Y22" s="7" t="n">
        <f aca="false">X22-W22*4/1440</f>
        <v>0.377875655392212</v>
      </c>
      <c r="Z22" s="7" t="n">
        <f aca="false">X22+W22*4/1440</f>
        <v>0.621770464510486</v>
      </c>
      <c r="AA22" s="10" t="n">
        <f aca="false">8*W22</f>
        <v>351.208525130316</v>
      </c>
      <c r="AB22" s="0" t="n">
        <f aca="false">MOD(E22*1440+V22+4*$B$4-60*$B$5,1440)</f>
        <v>126.254793670057</v>
      </c>
      <c r="AC22" s="0" t="n">
        <f aca="false">IF(AB22/4&lt;0,AB22/4+180,AB22/4-180)</f>
        <v>-148.436301582486</v>
      </c>
      <c r="AD22" s="0" t="n">
        <f aca="false">DEGREES(ACOS(SIN(RADIANS($B$3))*SIN(RADIANS(T22))+COS(RADIANS($B$3))*COS(RADIANS(T22))*COS(RADIANS(AC22))))</f>
        <v>130.697001371147</v>
      </c>
      <c r="AE22" s="0" t="n">
        <f aca="false">90-AD22</f>
        <v>-40.697001371147</v>
      </c>
      <c r="AF22" s="0" t="n">
        <f aca="false">IF(AE22&gt;85,0,IF(AE22&gt;5,58.1/TAN(RADIANS(AE22))-0.07/POWER(TAN(RADIANS(AE22)),3)+0.000086/POWER(TAN(RADIANS(AE22)),5),IF(AE22&gt;-0.575,1735+AE22*(-518.2+AE22*(103.4+AE22*(-12.79+AE22*0.711))),-20.772/TAN(RADIANS(AE22)))))/3600</f>
        <v>0.00670895406202899</v>
      </c>
      <c r="AG22" s="0" t="n">
        <f aca="false">AE22+AF22</f>
        <v>-40.690292417085</v>
      </c>
      <c r="AH22" s="0" t="n">
        <f aca="false">IF(AC22&gt;0,MOD(DEGREES(ACOS(((SIN(RADIANS($B$3))*COS(RADIANS(AD22)))-SIN(RADIANS(T22)))/(COS(RADIANS($B$3))*SIN(RADIANS(AD22)))))+180,360),MOD(540-DEGREES(ACOS(((SIN(RADIANS($B$3))*COS(RADIANS(AD22)))-SIN(RADIANS(T22)))/(COS(RADIANS($B$3))*SIN(RADIANS(AD22))))),360))</f>
        <v>40.490362946932</v>
      </c>
    </row>
    <row r="23" customFormat="false" ht="15" hidden="false" customHeight="false" outlineLevel="0" collapsed="false">
      <c r="D23" s="6" t="n">
        <f aca="false">$B$7</f>
        <v>44886</v>
      </c>
      <c r="E23" s="7" t="n">
        <f aca="false">E22+0.1/24</f>
        <v>0.0916666666666667</v>
      </c>
      <c r="F23" s="8" t="n">
        <f aca="false">D23+2415018.5+E23-$B$5/24</f>
        <v>2459904.55</v>
      </c>
      <c r="G23" s="9" t="n">
        <f aca="false">(F23-2451545)/36525</f>
        <v>0.228872005475709</v>
      </c>
      <c r="I23" s="0" t="n">
        <f aca="false">MOD(280.46646+G23*(36000.76983+G23*0.0003032),360)</f>
        <v>240.034865543848</v>
      </c>
      <c r="J23" s="0" t="n">
        <f aca="false">357.52911+G23*(35999.05029-0.0001537*G23)</f>
        <v>8596.70393704204</v>
      </c>
      <c r="K23" s="0" t="n">
        <f aca="false">0.016708634-G23*(0.000042037+0.0000001267*G23)</f>
        <v>0.0166990062706564</v>
      </c>
      <c r="L23" s="0" t="n">
        <f aca="false">SIN(RADIANS(J23))*(1.914602-G23*(0.004817+0.000014*G23))+SIN(RADIANS(2*J23))*(0.019993-0.000101*G23)+SIN(RADIANS(3*J23))*0.000289</f>
        <v>-1.33237321393713</v>
      </c>
      <c r="M23" s="0" t="n">
        <f aca="false">I23+L23</f>
        <v>238.702492329911</v>
      </c>
      <c r="N23" s="0" t="n">
        <f aca="false">J23+L23</f>
        <v>8595.3715638281</v>
      </c>
      <c r="O23" s="0" t="n">
        <f aca="false">(1.000001018*(1-K23*K23))/(1+K23*COS(RADIANS(N23)))</f>
        <v>0.987980695367077</v>
      </c>
      <c r="P23" s="0" t="n">
        <f aca="false">M23-0.00569-0.00478*SIN(RADIANS(125.04-1934.136*G23))</f>
        <v>238.69358098758</v>
      </c>
      <c r="Q23" s="0" t="n">
        <f aca="false">23+(26+((21.448-G23*(46.815+G23*(0.00059-G23*0.001813))))/60)/60</f>
        <v>23.4363148188594</v>
      </c>
      <c r="R23" s="0" t="n">
        <f aca="false">Q23+0.00256*COS(RADIANS(125.04-1934.136*G23))</f>
        <v>23.4382061556253</v>
      </c>
      <c r="S23" s="0" t="n">
        <f aca="false">DEGREES(ATAN2(COS(RADIANS(P23)),COS(RADIANS(R23))*SIN(RADIANS(P23))))</f>
        <v>-123.538625088844</v>
      </c>
      <c r="T23" s="0" t="n">
        <f aca="false">DEGREES(ASIN(SIN(RADIANS(R23))*SIN(RADIANS(P23))))</f>
        <v>-19.8675043452668</v>
      </c>
      <c r="U23" s="0" t="n">
        <f aca="false">TAN(RADIANS(R23/2))*TAN(RADIANS(R23/2))</f>
        <v>0.0430304320906064</v>
      </c>
      <c r="V23" s="0" t="n">
        <f aca="false">4*DEGREES(U23*SIN(2*RADIANS(I23))-2*K23*SIN(RADIANS(J23))+4*K23*U23*SIN(RADIANS(J23))*COS(2*RADIANS(I23))-0.5*U23*U23*SIN(4*RADIANS(I23))-1.25*K23*K23*SIN(2*RADIANS(J23)))</f>
        <v>14.2737545582088</v>
      </c>
      <c r="W23" s="0" t="n">
        <f aca="false">DEGREES(ACOS(COS(RADIANS(90.833))/(COS(RADIANS($B$3))*COS(RADIANS(T23)))-TAN(RADIANS($B$3))*TAN(RADIANS(T23))))</f>
        <v>43.8979272527033</v>
      </c>
      <c r="X23" s="7" t="n">
        <f aca="false">(720-4*$B$4-V23+$B$5*60)/1440</f>
        <v>0.499823781556799</v>
      </c>
      <c r="Y23" s="7" t="n">
        <f aca="false">X23-W23*4/1440</f>
        <v>0.377885094743735</v>
      </c>
      <c r="Z23" s="7" t="n">
        <f aca="false">X23+W23*4/1440</f>
        <v>0.621762468369864</v>
      </c>
      <c r="AA23" s="10" t="n">
        <f aca="false">8*W23</f>
        <v>351.183418021626</v>
      </c>
      <c r="AB23" s="0" t="n">
        <f aca="false">MOD(E23*1440+V23+4*$B$4-60*$B$5,1440)</f>
        <v>132.253754558209</v>
      </c>
      <c r="AC23" s="0" t="n">
        <f aca="false">IF(AB23/4&lt;0,AB23/4+180,AB23/4-180)</f>
        <v>-146.936561360448</v>
      </c>
      <c r="AD23" s="0" t="n">
        <f aca="false">DEGREES(ACOS(SIN(RADIANS($B$3))*SIN(RADIANS(T23))+COS(RADIANS($B$3))*COS(RADIANS(T23))*COS(RADIANS(AC23))))</f>
        <v>130.270594964733</v>
      </c>
      <c r="AE23" s="0" t="n">
        <f aca="false">90-AD23</f>
        <v>-40.2705949647329</v>
      </c>
      <c r="AF23" s="0" t="n">
        <f aca="false">IF(AE23&gt;85,0,IF(AE23&gt;5,58.1/TAN(RADIANS(AE23))-0.07/POWER(TAN(RADIANS(AE23)),3)+0.000086/POWER(TAN(RADIANS(AE23)),5),IF(AE23&gt;-0.575,1735+AE23*(-518.2+AE23*(103.4+AE23*(-12.79+AE23*0.711))),-20.772/TAN(RADIANS(AE23)))))/3600</f>
        <v>0.0068108333705822</v>
      </c>
      <c r="AG23" s="0" t="n">
        <f aca="false">AE23+AF23</f>
        <v>-40.2637841313623</v>
      </c>
      <c r="AH23" s="0" t="n">
        <f aca="false">IF(AC23&gt;0,MOD(DEGREES(ACOS(((SIN(RADIANS($B$3))*COS(RADIANS(AD23)))-SIN(RADIANS(T23)))/(COS(RADIANS($B$3))*SIN(RADIANS(AD23)))))+180,360),MOD(540-DEGREES(ACOS(((SIN(RADIANS($B$3))*COS(RADIANS(AD23)))-SIN(RADIANS(T23)))/(COS(RADIANS($B$3))*SIN(RADIANS(AD23))))),360))</f>
        <v>42.2580850741837</v>
      </c>
    </row>
    <row r="24" customFormat="false" ht="15" hidden="false" customHeight="false" outlineLevel="0" collapsed="false">
      <c r="D24" s="6" t="n">
        <f aca="false">$B$7</f>
        <v>44886</v>
      </c>
      <c r="E24" s="7" t="n">
        <f aca="false">E23+0.1/24</f>
        <v>0.0958333333333333</v>
      </c>
      <c r="F24" s="8" t="n">
        <f aca="false">D24+2415018.5+E24-$B$5/24</f>
        <v>2459904.55416667</v>
      </c>
      <c r="G24" s="9" t="n">
        <f aca="false">(F24-2451545)/36525</f>
        <v>0.228872119552819</v>
      </c>
      <c r="I24" s="0" t="n">
        <f aca="false">MOD(280.46646+G24*(36000.76983+G24*0.0003032),360)</f>
        <v>240.038972407619</v>
      </c>
      <c r="J24" s="0" t="n">
        <f aca="false">357.52911+G24*(35999.05029-0.0001537*G24)</f>
        <v>8596.70804370963</v>
      </c>
      <c r="K24" s="0" t="n">
        <f aca="false">0.016708634-G24*(0.000042037+0.0000001267*G24)</f>
        <v>0.0166990062658543</v>
      </c>
      <c r="L24" s="0" t="n">
        <f aca="false">SIN(RADIANS(J24))*(1.914602-G24*(0.004817+0.000014*G24))+SIN(RADIANS(2*J24))*(0.019993-0.000101*G24)+SIN(RADIANS(3*J24))*0.000289</f>
        <v>-1.33227325931586</v>
      </c>
      <c r="M24" s="0" t="n">
        <f aca="false">I24+L24</f>
        <v>238.706699148304</v>
      </c>
      <c r="N24" s="0" t="n">
        <f aca="false">J24+L24</f>
        <v>8595.37577045031</v>
      </c>
      <c r="O24" s="0" t="n">
        <f aca="false">(1.000001018*(1-K24*K24))/(1+K24*COS(RADIANS(N24)))</f>
        <v>0.987979854454146</v>
      </c>
      <c r="P24" s="0" t="n">
        <f aca="false">M24-0.00569-0.00478*SIN(RADIANS(125.04-1934.136*G24))</f>
        <v>238.697787819572</v>
      </c>
      <c r="Q24" s="0" t="n">
        <f aca="false">23+(26+((21.448-G24*(46.815+G24*(0.00059-G24*0.001813))))/60)/60</f>
        <v>23.4363148173759</v>
      </c>
      <c r="R24" s="0" t="n">
        <f aca="false">Q24+0.00256*COS(RADIANS(125.04-1934.136*G24))</f>
        <v>23.4382061607855</v>
      </c>
      <c r="S24" s="0" t="n">
        <f aca="false">DEGREES(ATAN2(COS(RADIANS(P24)),COS(RADIANS(R24))*SIN(RADIANS(P24))))</f>
        <v>-123.534261350816</v>
      </c>
      <c r="T24" s="0" t="n">
        <f aca="false">DEGREES(ASIN(SIN(RADIANS(R24))*SIN(RADIANS(P24))))</f>
        <v>-19.86842879779</v>
      </c>
      <c r="U24" s="0" t="n">
        <f aca="false">TAN(RADIANS(R24/2))*TAN(RADIANS(R24/2))</f>
        <v>0.0430304321100928</v>
      </c>
      <c r="V24" s="0" t="n">
        <f aca="false">4*DEGREES(U24*SIN(2*RADIANS(I24))-2*K24*SIN(RADIANS(J24))+4*K24*U24*SIN(RADIANS(J24))*COS(2*RADIANS(I24))-0.5*U24*U24*SIN(4*RADIANS(I24))-1.25*K24*K24*SIN(2*RADIANS(J24)))</f>
        <v>14.2727152130082</v>
      </c>
      <c r="W24" s="0" t="n">
        <f aca="false">DEGREES(ACOS(COS(RADIANS(90.833))/(COS(RADIANS($B$3))*COS(RADIANS(T24)))-TAN(RADIANS($B$3))*TAN(RADIANS(T24))))</f>
        <v>43.8947890052431</v>
      </c>
      <c r="X24" s="7" t="n">
        <f aca="false">(720-4*$B$4-V24+$B$5*60)/1440</f>
        <v>0.4998245033243</v>
      </c>
      <c r="Y24" s="7" t="n">
        <f aca="false">X24-W24*4/1440</f>
        <v>0.377894533865291</v>
      </c>
      <c r="Z24" s="7" t="n">
        <f aca="false">X24+W24*4/1440</f>
        <v>0.621754472783308</v>
      </c>
      <c r="AA24" s="10" t="n">
        <f aca="false">8*W24</f>
        <v>351.158312041945</v>
      </c>
      <c r="AB24" s="0" t="n">
        <f aca="false">MOD(E24*1440+V24+4*$B$4-60*$B$5,1440)</f>
        <v>138.252715213008</v>
      </c>
      <c r="AC24" s="0" t="n">
        <f aca="false">IF(AB24/4&lt;0,AB24/4+180,AB24/4-180)</f>
        <v>-145.436821196748</v>
      </c>
      <c r="AD24" s="0" t="n">
        <f aca="false">DEGREES(ACOS(SIN(RADIANS($B$3))*SIN(RADIANS(T24))+COS(RADIANS($B$3))*COS(RADIANS(T24))*COS(RADIANS(AC24))))</f>
        <v>129.829496905155</v>
      </c>
      <c r="AE24" s="0" t="n">
        <f aca="false">90-AD24</f>
        <v>-39.8294969051552</v>
      </c>
      <c r="AF24" s="0" t="n">
        <f aca="false">IF(AE24&gt;85,0,IF(AE24&gt;5,58.1/TAN(RADIANS(AE24))-0.07/POWER(TAN(RADIANS(AE24)),3)+0.000086/POWER(TAN(RADIANS(AE24)),5),IF(AE24&gt;-0.575,1735+AE24*(-518.2+AE24*(103.4+AE24*(-12.79+AE24*0.711))),-20.772/TAN(RADIANS(AE24)))))/3600</f>
        <v>0.0069181238596067</v>
      </c>
      <c r="AG24" s="0" t="n">
        <f aca="false">AE24+AF24</f>
        <v>-39.8225787812956</v>
      </c>
      <c r="AH24" s="0" t="n">
        <f aca="false">IF(AC24&gt;0,MOD(DEGREES(ACOS(((SIN(RADIANS($B$3))*COS(RADIANS(AD24)))-SIN(RADIANS(T24)))/(COS(RADIANS($B$3))*SIN(RADIANS(AD24)))))+180,360),MOD(540-DEGREES(ACOS(((SIN(RADIANS($B$3))*COS(RADIANS(AD24)))-SIN(RADIANS(T24)))/(COS(RADIANS($B$3))*SIN(RADIANS(AD24))))),360))</f>
        <v>44.0082927307949</v>
      </c>
    </row>
    <row r="25" customFormat="false" ht="15" hidden="false" customHeight="false" outlineLevel="0" collapsed="false">
      <c r="D25" s="6" t="n">
        <f aca="false">$B$7</f>
        <v>44886</v>
      </c>
      <c r="E25" s="7" t="n">
        <f aca="false">E24+0.1/24</f>
        <v>0.1</v>
      </c>
      <c r="F25" s="8" t="n">
        <f aca="false">D25+2415018.5+E25-$B$5/24</f>
        <v>2459904.55833333</v>
      </c>
      <c r="G25" s="9" t="n">
        <f aca="false">(F25-2451545)/36525</f>
        <v>0.228872233629941</v>
      </c>
      <c r="I25" s="0" t="n">
        <f aca="false">MOD(280.46646+G25*(36000.76983+G25*0.0003032),360)</f>
        <v>240.043079271851</v>
      </c>
      <c r="J25" s="0" t="n">
        <f aca="false">357.52911+G25*(35999.05029-0.0001537*G25)</f>
        <v>8596.71215037767</v>
      </c>
      <c r="K25" s="0" t="n">
        <f aca="false">0.016708634-G25*(0.000042037+0.0000001267*G25)</f>
        <v>0.0166990062610522</v>
      </c>
      <c r="L25" s="0" t="n">
        <f aca="false">SIN(RADIANS(J25))*(1.914602-G25*(0.004817+0.000014*G25))+SIN(RADIANS(2*J25))*(0.019993-0.000101*G25)+SIN(RADIANS(3*J25))*0.000289</f>
        <v>-1.3321732975229</v>
      </c>
      <c r="M25" s="0" t="n">
        <f aca="false">I25+L25</f>
        <v>238.710905974328</v>
      </c>
      <c r="N25" s="0" t="n">
        <f aca="false">J25+L25</f>
        <v>8595.37997708015</v>
      </c>
      <c r="O25" s="0" t="n">
        <f aca="false">(1.000001018*(1-K25*K25))/(1+K25*COS(RADIANS(N25)))</f>
        <v>0.987979013603675</v>
      </c>
      <c r="P25" s="0" t="n">
        <f aca="false">M25-0.00569-0.00478*SIN(RADIANS(125.04-1934.136*G25))</f>
        <v>238.701994659196</v>
      </c>
      <c r="Q25" s="0" t="n">
        <f aca="false">23+(26+((21.448-G25*(46.815+G25*(0.00059-G25*0.001813))))/60)/60</f>
        <v>23.4363148158924</v>
      </c>
      <c r="R25" s="0" t="n">
        <f aca="false">Q25+0.00256*COS(RADIANS(125.04-1934.136*G25))</f>
        <v>23.4382061659457</v>
      </c>
      <c r="S25" s="0" t="n">
        <f aca="false">DEGREES(ATAN2(COS(RADIANS(P25)),COS(RADIANS(R25))*SIN(RADIANS(P25))))</f>
        <v>-123.529897553987</v>
      </c>
      <c r="T25" s="0" t="n">
        <f aca="false">DEGREES(ASIN(SIN(RADIANS(R25))*SIN(RADIANS(P25))))</f>
        <v>-19.8693531457599</v>
      </c>
      <c r="U25" s="0" t="n">
        <f aca="false">TAN(RADIANS(R25/2))*TAN(RADIANS(R25/2))</f>
        <v>0.0430304321295791</v>
      </c>
      <c r="V25" s="0" t="n">
        <f aca="false">4*DEGREES(U25*SIN(2*RADIANS(I25))-2*K25*SIN(RADIANS(J25))+4*K25*U25*SIN(RADIANS(J25))*COS(2*RADIANS(I25))-0.5*U25*U25*SIN(4*RADIANS(I25))-1.25*K25*K25*SIN(2*RADIANS(J25)))</f>
        <v>14.2716756342366</v>
      </c>
      <c r="W25" s="0" t="n">
        <f aca="false">DEGREES(ACOS(COS(RADIANS(90.833))/(COS(RADIANS($B$3))*COS(RADIANS(T25)))-TAN(RADIANS($B$3))*TAN(RADIANS(T25))))</f>
        <v>43.8916508982562</v>
      </c>
      <c r="X25" s="7" t="n">
        <f aca="false">(720-4*$B$4-V25+$B$5*60)/1440</f>
        <v>0.499825225254002</v>
      </c>
      <c r="Y25" s="7" t="n">
        <f aca="false">X25-W25*4/1440</f>
        <v>0.377903972758846</v>
      </c>
      <c r="Z25" s="7" t="n">
        <f aca="false">X25+W25*4/1440</f>
        <v>0.621746477749159</v>
      </c>
      <c r="AA25" s="10" t="n">
        <f aca="false">8*W25</f>
        <v>351.13320718605</v>
      </c>
      <c r="AB25" s="0" t="n">
        <f aca="false">MOD(E25*1440+V25+4*$B$4-60*$B$5,1440)</f>
        <v>144.251675634237</v>
      </c>
      <c r="AC25" s="0" t="n">
        <f aca="false">IF(AB25/4&lt;0,AB25/4+180,AB25/4-180)</f>
        <v>-143.937081091441</v>
      </c>
      <c r="AD25" s="0" t="n">
        <f aca="false">DEGREES(ACOS(SIN(RADIANS($B$3))*SIN(RADIANS(T25))+COS(RADIANS($B$3))*COS(RADIANS(T25))*COS(RADIANS(AC25))))</f>
        <v>129.374263848918</v>
      </c>
      <c r="AE25" s="0" t="n">
        <f aca="false">90-AD25</f>
        <v>-39.3742638489176</v>
      </c>
      <c r="AF25" s="0" t="n">
        <f aca="false">IF(AE25&gt;85,0,IF(AE25&gt;5,58.1/TAN(RADIANS(AE25))-0.07/POWER(TAN(RADIANS(AE25)),3)+0.000086/POWER(TAN(RADIANS(AE25)),5),IF(AE25&gt;-0.575,1735+AE25*(-518.2+AE25*(103.4+AE25*(-12.79+AE25*0.711))),-20.772/TAN(RADIANS(AE25)))))/3600</f>
        <v>0.00703094955119151</v>
      </c>
      <c r="AG25" s="0" t="n">
        <f aca="false">AE25+AF25</f>
        <v>-39.3672328993664</v>
      </c>
      <c r="AH25" s="0" t="n">
        <f aca="false">IF(AC25&gt;0,MOD(DEGREES(ACOS(((SIN(RADIANS($B$3))*COS(RADIANS(AD25)))-SIN(RADIANS(T25)))/(COS(RADIANS($B$3))*SIN(RADIANS(AD25)))))+180,360),MOD(540-DEGREES(ACOS(((SIN(RADIANS($B$3))*COS(RADIANS(AD25)))-SIN(RADIANS(T25)))/(COS(RADIANS($B$3))*SIN(RADIANS(AD25))))),360))</f>
        <v>45.7409610043112</v>
      </c>
    </row>
    <row r="26" customFormat="false" ht="15" hidden="false" customHeight="false" outlineLevel="0" collapsed="false">
      <c r="D26" s="6" t="n">
        <f aca="false">$B$7</f>
        <v>44886</v>
      </c>
      <c r="E26" s="7" t="n">
        <f aca="false">E25+0.1/24</f>
        <v>0.104166666666667</v>
      </c>
      <c r="F26" s="8" t="n">
        <f aca="false">D26+2415018.5+E26-$B$5/24</f>
        <v>2459904.5625</v>
      </c>
      <c r="G26" s="9" t="n">
        <f aca="false">(F26-2451545)/36525</f>
        <v>0.22887234770705</v>
      </c>
      <c r="I26" s="0" t="n">
        <f aca="false">MOD(280.46646+G26*(36000.76983+G26*0.0003032),360)</f>
        <v>240.047186135624</v>
      </c>
      <c r="J26" s="0" t="n">
        <f aca="false">357.52911+G26*(35999.05029-0.0001537*G26)</f>
        <v>8596.71625704526</v>
      </c>
      <c r="K26" s="0" t="n">
        <f aca="false">0.016708634-G26*(0.000042037+0.0000001267*G26)</f>
        <v>0.0166990062562502</v>
      </c>
      <c r="L26" s="0" t="n">
        <f aca="false">SIN(RADIANS(J26))*(1.914602-G26*(0.004817+0.000014*G26))+SIN(RADIANS(2*J26))*(0.019993-0.000101*G26)+SIN(RADIANS(3*J26))*0.000289</f>
        <v>-1.33207332858103</v>
      </c>
      <c r="M26" s="0" t="n">
        <f aca="false">I26+L26</f>
        <v>238.715112807043</v>
      </c>
      <c r="N26" s="0" t="n">
        <f aca="false">J26+L26</f>
        <v>8595.38418371668</v>
      </c>
      <c r="O26" s="0" t="n">
        <f aca="false">(1.000001018*(1-K26*K26))/(1+K26*COS(RADIANS(N26)))</f>
        <v>0.987978172815854</v>
      </c>
      <c r="P26" s="0" t="n">
        <f aca="false">M26-0.00569-0.00478*SIN(RADIANS(125.04-1934.136*G26))</f>
        <v>238.70620150551</v>
      </c>
      <c r="Q26" s="0" t="n">
        <f aca="false">23+(26+((21.448-G26*(46.815+G26*(0.00059-G26*0.001813))))/60)/60</f>
        <v>23.436314814409</v>
      </c>
      <c r="R26" s="0" t="n">
        <f aca="false">Q26+0.00256*COS(RADIANS(125.04-1934.136*G26))</f>
        <v>23.4382061711059</v>
      </c>
      <c r="S26" s="0" t="n">
        <f aca="false">DEGREES(ATAN2(COS(RADIANS(P26)),COS(RADIANS(R26))*SIN(RADIANS(P26))))</f>
        <v>-123.525533699336</v>
      </c>
      <c r="T26" s="0" t="n">
        <f aca="false">DEGREES(ASIN(SIN(RADIANS(R26))*SIN(RADIANS(P26))))</f>
        <v>-19.8702773889626</v>
      </c>
      <c r="U26" s="0" t="n">
        <f aca="false">TAN(RADIANS(R26/2))*TAN(RADIANS(R26/2))</f>
        <v>0.0430304321490653</v>
      </c>
      <c r="V26" s="0" t="n">
        <f aca="false">4*DEGREES(U26*SIN(2*RADIANS(I26))-2*K26*SIN(RADIANS(J26))+4*K26*U26*SIN(RADIANS(J26))*COS(2*RADIANS(I26))-0.5*U26*U26*SIN(4*RADIANS(I26))-1.25*K26*K26*SIN(2*RADIANS(J26)))</f>
        <v>14.2706358221394</v>
      </c>
      <c r="W26" s="0" t="n">
        <f aca="false">DEGREES(ACOS(COS(RADIANS(90.833))/(COS(RADIANS($B$3))*COS(RADIANS(T26)))-TAN(RADIANS($B$3))*TAN(RADIANS(T26))))</f>
        <v>43.8885129324937</v>
      </c>
      <c r="X26" s="7" t="n">
        <f aca="false">(720-4*$B$4-V26+$B$5*60)/1440</f>
        <v>0.499825947345737</v>
      </c>
      <c r="Y26" s="7" t="n">
        <f aca="false">X26-W26*4/1440</f>
        <v>0.377913411422143</v>
      </c>
      <c r="Z26" s="7" t="n">
        <f aca="false">X26+W26*4/1440</f>
        <v>0.62173848326933</v>
      </c>
      <c r="AA26" s="10" t="n">
        <f aca="false">8*W26</f>
        <v>351.108103459949</v>
      </c>
      <c r="AB26" s="0" t="n">
        <f aca="false">MOD(E26*1440+V26+4*$B$4-60*$B$5,1440)</f>
        <v>150.250635822139</v>
      </c>
      <c r="AC26" s="0" t="n">
        <f aca="false">IF(AB26/4&lt;0,AB26/4+180,AB26/4-180)</f>
        <v>-142.437341044465</v>
      </c>
      <c r="AD26" s="0" t="n">
        <f aca="false">DEGREES(ACOS(SIN(RADIANS($B$3))*SIN(RADIANS(T26))+COS(RADIANS($B$3))*COS(RADIANS(T26))*COS(RADIANS(AC26))))</f>
        <v>128.905452970404</v>
      </c>
      <c r="AE26" s="0" t="n">
        <f aca="false">90-AD26</f>
        <v>-38.9054529704038</v>
      </c>
      <c r="AF26" s="0" t="n">
        <f aca="false">IF(AE26&gt;85,0,IF(AE26&gt;5,58.1/TAN(RADIANS(AE26))-0.07/POWER(TAN(RADIANS(AE26)),3)+0.000086/POWER(TAN(RADIANS(AE26)),5),IF(AE26&gt;-0.575,1735+AE26*(-518.2+AE26*(103.4+AE26*(-12.79+AE26*0.711))),-20.772/TAN(RADIANS(AE26)))))/3600</f>
        <v>0.00714944697895022</v>
      </c>
      <c r="AG26" s="0" t="n">
        <f aca="false">AE26+AF26</f>
        <v>-38.8983035234249</v>
      </c>
      <c r="AH26" s="0" t="n">
        <f aca="false">IF(AC26&gt;0,MOD(DEGREES(ACOS(((SIN(RADIANS($B$3))*COS(RADIANS(AD26)))-SIN(RADIANS(T26)))/(COS(RADIANS($B$3))*SIN(RADIANS(AD26)))))+180,360),MOD(540-DEGREES(ACOS(((SIN(RADIANS($B$3))*COS(RADIANS(AD26)))-SIN(RADIANS(T26)))/(COS(RADIANS($B$3))*SIN(RADIANS(AD26))))),360))</f>
        <v>47.456120912067</v>
      </c>
    </row>
    <row r="27" customFormat="false" ht="15" hidden="false" customHeight="false" outlineLevel="0" collapsed="false">
      <c r="D27" s="6" t="n">
        <f aca="false">$B$7</f>
        <v>44886</v>
      </c>
      <c r="E27" s="7" t="n">
        <f aca="false">E26+0.1/24</f>
        <v>0.108333333333333</v>
      </c>
      <c r="F27" s="8" t="n">
        <f aca="false">D27+2415018.5+E27-$B$5/24</f>
        <v>2459904.56666667</v>
      </c>
      <c r="G27" s="9" t="n">
        <f aca="false">(F27-2451545)/36525</f>
        <v>0.228872461784172</v>
      </c>
      <c r="I27" s="0" t="n">
        <f aca="false">MOD(280.46646+G27*(36000.76983+G27*0.0003032),360)</f>
        <v>240.051292999853</v>
      </c>
      <c r="J27" s="0" t="n">
        <f aca="false">357.52911+G27*(35999.05029-0.0001537*G27)</f>
        <v>8596.7203637133</v>
      </c>
      <c r="K27" s="0" t="n">
        <f aca="false">0.016708634-G27*(0.000042037+0.0000001267*G27)</f>
        <v>0.0166990062514481</v>
      </c>
      <c r="L27" s="0" t="n">
        <f aca="false">SIN(RADIANS(J27))*(1.914602-G27*(0.004817+0.000014*G27))+SIN(RADIANS(2*J27))*(0.019993-0.000101*G27)+SIN(RADIANS(3*J27))*0.000289</f>
        <v>-1.33197335246851</v>
      </c>
      <c r="M27" s="0" t="n">
        <f aca="false">I27+L27</f>
        <v>238.719319647385</v>
      </c>
      <c r="N27" s="0" t="n">
        <f aca="false">J27+L27</f>
        <v>8595.38839036084</v>
      </c>
      <c r="O27" s="0" t="n">
        <f aca="false">(1.000001018*(1-K27*K27))/(1+K27*COS(RADIANS(N27)))</f>
        <v>0.987977332090502</v>
      </c>
      <c r="P27" s="0" t="n">
        <f aca="false">M27-0.00569-0.00478*SIN(RADIANS(125.04-1934.136*G27))</f>
        <v>238.710408359452</v>
      </c>
      <c r="Q27" s="0" t="n">
        <f aca="false">23+(26+((21.448-G27*(46.815+G27*(0.00059-G27*0.001813))))/60)/60</f>
        <v>23.4363148129255</v>
      </c>
      <c r="R27" s="0" t="n">
        <f aca="false">Q27+0.00256*COS(RADIANS(125.04-1934.136*G27))</f>
        <v>23.4382061762661</v>
      </c>
      <c r="S27" s="0" t="n">
        <f aca="false">DEGREES(ATAN2(COS(RADIANS(P27)),COS(RADIANS(R27))*SIN(RADIANS(P27))))</f>
        <v>-123.521169785894</v>
      </c>
      <c r="T27" s="0" t="n">
        <f aca="false">DEGREES(ASIN(SIN(RADIANS(R27))*SIN(RADIANS(P27))))</f>
        <v>-19.8712015275967</v>
      </c>
      <c r="U27" s="0" t="n">
        <f aca="false">TAN(RADIANS(R27/2))*TAN(RADIANS(R27/2))</f>
        <v>0.0430304321685514</v>
      </c>
      <c r="V27" s="0" t="n">
        <f aca="false">4*DEGREES(U27*SIN(2*RADIANS(I27))-2*K27*SIN(RADIANS(J27))+4*K27*U27*SIN(RADIANS(J27))*COS(2*RADIANS(I27))-0.5*U27*U27*SIN(4*RADIANS(I27))-1.25*K27*K27*SIN(2*RADIANS(J27)))</f>
        <v>14.2695957764983</v>
      </c>
      <c r="W27" s="0" t="n">
        <f aca="false">DEGREES(ACOS(COS(RADIANS(90.833))/(COS(RADIANS($B$3))*COS(RADIANS(T27)))-TAN(RADIANS($B$3))*TAN(RADIANS(T27))))</f>
        <v>43.8853751073056</v>
      </c>
      <c r="X27" s="7" t="n">
        <f aca="false">(720-4*$B$4-V27+$B$5*60)/1440</f>
        <v>0.499826669599654</v>
      </c>
      <c r="Y27" s="7" t="n">
        <f aca="false">X27-W27*4/1440</f>
        <v>0.377922849857138</v>
      </c>
      <c r="Z27" s="7" t="n">
        <f aca="false">X27+W27*4/1440</f>
        <v>0.621730489342169</v>
      </c>
      <c r="AA27" s="10" t="n">
        <f aca="false">8*W27</f>
        <v>351.083000858445</v>
      </c>
      <c r="AB27" s="0" t="n">
        <f aca="false">MOD(E27*1440+V27+4*$B$4-60*$B$5,1440)</f>
        <v>156.249595776498</v>
      </c>
      <c r="AC27" s="0" t="n">
        <f aca="false">IF(AB27/4&lt;0,AB27/4+180,AB27/4-180)</f>
        <v>-140.937601055875</v>
      </c>
      <c r="AD27" s="0" t="n">
        <f aca="false">DEGREES(ACOS(SIN(RADIANS($B$3))*SIN(RADIANS(T27))+COS(RADIANS($B$3))*COS(RADIANS(T27))*COS(RADIANS(AC27))))</f>
        <v>128.42362053739</v>
      </c>
      <c r="AE27" s="0" t="n">
        <f aca="false">90-AD27</f>
        <v>-38.4236205373895</v>
      </c>
      <c r="AF27" s="0" t="n">
        <f aca="false">IF(AE27&gt;85,0,IF(AE27&gt;5,58.1/TAN(RADIANS(AE27))-0.07/POWER(TAN(RADIANS(AE27)),3)+0.000086/POWER(TAN(RADIANS(AE27)),5),IF(AE27&gt;-0.575,1735+AE27*(-518.2+AE27*(103.4+AE27*(-12.79+AE27*0.711))),-20.772/TAN(RADIANS(AE27)))))/3600</f>
        <v>0.00727376613175933</v>
      </c>
      <c r="AG27" s="0" t="n">
        <f aca="false">AE27+AF27</f>
        <v>-38.4163467712578</v>
      </c>
      <c r="AH27" s="0" t="n">
        <f aca="false">IF(AC27&gt;0,MOD(DEGREES(ACOS(((SIN(RADIANS($B$3))*COS(RADIANS(AD27)))-SIN(RADIANS(T27)))/(COS(RADIANS($B$3))*SIN(RADIANS(AD27)))))+180,360),MOD(540-DEGREES(ACOS(((SIN(RADIANS($B$3))*COS(RADIANS(AD27)))-SIN(RADIANS(T27)))/(COS(RADIANS($B$3))*SIN(RADIANS(AD27))))),360))</f>
        <v>49.1538556258223</v>
      </c>
    </row>
    <row r="28" customFormat="false" ht="15" hidden="false" customHeight="false" outlineLevel="0" collapsed="false">
      <c r="D28" s="6" t="n">
        <f aca="false">$B$7</f>
        <v>44886</v>
      </c>
      <c r="E28" s="7" t="n">
        <f aca="false">E27+0.1/24</f>
        <v>0.1125</v>
      </c>
      <c r="F28" s="8" t="n">
        <f aca="false">D28+2415018.5+E28-$B$5/24</f>
        <v>2459904.57083333</v>
      </c>
      <c r="G28" s="9" t="n">
        <f aca="false">(F28-2451545)/36525</f>
        <v>0.228872575861281</v>
      </c>
      <c r="I28" s="0" t="n">
        <f aca="false">MOD(280.46646+G28*(36000.76983+G28*0.0003032),360)</f>
        <v>240.055399863624</v>
      </c>
      <c r="J28" s="0" t="n">
        <f aca="false">357.52911+G28*(35999.05029-0.0001537*G28)</f>
        <v>8596.72447038089</v>
      </c>
      <c r="K28" s="0" t="n">
        <f aca="false">0.016708634-G28*(0.000042037+0.0000001267*G28)</f>
        <v>0.016699006246646</v>
      </c>
      <c r="L28" s="0" t="n">
        <f aca="false">SIN(RADIANS(J28))*(1.914602-G28*(0.004817+0.000014*G28))+SIN(RADIANS(2*J28))*(0.019993-0.000101*G28)+SIN(RADIANS(3*J28))*0.000289</f>
        <v>-1.33187336920806</v>
      </c>
      <c r="M28" s="0" t="n">
        <f aca="false">I28+L28</f>
        <v>238.723526494416</v>
      </c>
      <c r="N28" s="0" t="n">
        <f aca="false">J28+L28</f>
        <v>8595.39259701169</v>
      </c>
      <c r="O28" s="0" t="n">
        <f aca="false">(1.000001018*(1-K28*K28))/(1+K28*COS(RADIANS(N28)))</f>
        <v>0.987976491427811</v>
      </c>
      <c r="P28" s="0" t="n">
        <f aca="false">M28-0.00569-0.00478*SIN(RADIANS(125.04-1934.136*G28))</f>
        <v>238.714615220083</v>
      </c>
      <c r="Q28" s="0" t="n">
        <f aca="false">23+(26+((21.448-G28*(46.815+G28*(0.00059-G28*0.001813))))/60)/60</f>
        <v>23.436314811442</v>
      </c>
      <c r="R28" s="0" t="n">
        <f aca="false">Q28+0.00256*COS(RADIANS(125.04-1934.136*G28))</f>
        <v>23.4382061814262</v>
      </c>
      <c r="S28" s="0" t="n">
        <f aca="false">DEGREES(ATAN2(COS(RADIANS(P28)),COS(RADIANS(R28))*SIN(RADIANS(P28))))</f>
        <v>-123.516805814636</v>
      </c>
      <c r="T28" s="0" t="n">
        <f aca="false">DEGREES(ASIN(SIN(RADIANS(R28))*SIN(RADIANS(P28))))</f>
        <v>-19.872125561449</v>
      </c>
      <c r="U28" s="0" t="n">
        <f aca="false">TAN(RADIANS(R28/2))*TAN(RADIANS(R28/2))</f>
        <v>0.0430304321880373</v>
      </c>
      <c r="V28" s="0" t="n">
        <f aca="false">4*DEGREES(U28*SIN(2*RADIANS(I28))-2*K28*SIN(RADIANS(J28))+4*K28*U28*SIN(RADIANS(J28))*COS(2*RADIANS(I28))-0.5*U28*U28*SIN(4*RADIANS(I28))-1.25*K28*K28*SIN(2*RADIANS(J28)))</f>
        <v>14.2685554975582</v>
      </c>
      <c r="W28" s="0" t="n">
        <f aca="false">DEGREES(ACOS(COS(RADIANS(90.833))/(COS(RADIANS($B$3))*COS(RADIANS(T28)))-TAN(RADIANS($B$3))*TAN(RADIANS(T28))))</f>
        <v>43.8822374234401</v>
      </c>
      <c r="X28" s="7" t="n">
        <f aca="false">(720-4*$B$4-V28+$B$5*60)/1440</f>
        <v>0.499827392015585</v>
      </c>
      <c r="Y28" s="7" t="n">
        <f aca="false">X28-W28*4/1440</f>
        <v>0.377932288061584</v>
      </c>
      <c r="Z28" s="7" t="n">
        <f aca="false">X28+W28*4/1440</f>
        <v>0.621722495969585</v>
      </c>
      <c r="AA28" s="10" t="n">
        <f aca="false">8*W28</f>
        <v>351.057899387521</v>
      </c>
      <c r="AB28" s="0" t="n">
        <f aca="false">MOD(E28*1440+V28+4*$B$4-60*$B$5,1440)</f>
        <v>162.248555497558</v>
      </c>
      <c r="AC28" s="0" t="n">
        <f aca="false">IF(AB28/4&lt;0,AB28/4+180,AB28/4-180)</f>
        <v>-139.43786112561</v>
      </c>
      <c r="AD28" s="0" t="n">
        <f aca="false">DEGREES(ACOS(SIN(RADIANS($B$3))*SIN(RADIANS(T28))+COS(RADIANS($B$3))*COS(RADIANS(T28))*COS(RADIANS(AC28))))</f>
        <v>127.929320627004</v>
      </c>
      <c r="AE28" s="0" t="n">
        <f aca="false">90-AD28</f>
        <v>-37.9293206270038</v>
      </c>
      <c r="AF28" s="0" t="n">
        <f aca="false">IF(AE28&gt;85,0,IF(AE28&gt;5,58.1/TAN(RADIANS(AE28))-0.07/POWER(TAN(RADIANS(AE28)),3)+0.000086/POWER(TAN(RADIANS(AE28)),5),IF(AE28&gt;-0.575,1735+AE28*(-518.2+AE28*(103.4+AE28*(-12.79+AE28*0.711))),-20.772/TAN(RADIANS(AE28)))))/3600</f>
        <v>0.00740407146782572</v>
      </c>
      <c r="AG28" s="0" t="n">
        <f aca="false">AE28+AF28</f>
        <v>-37.921916555536</v>
      </c>
      <c r="AH28" s="0" t="n">
        <f aca="false">IF(AC28&gt;0,MOD(DEGREES(ACOS(((SIN(RADIANS($B$3))*COS(RADIANS(AD28)))-SIN(RADIANS(T28)))/(COS(RADIANS($B$3))*SIN(RADIANS(AD28)))))+180,360),MOD(540-DEGREES(ACOS(((SIN(RADIANS($B$3))*COS(RADIANS(AD28)))-SIN(RADIANS(T28)))/(COS(RADIANS($B$3))*SIN(RADIANS(AD28))))),360))</f>
        <v>50.8342966470554</v>
      </c>
    </row>
    <row r="29" customFormat="false" ht="15" hidden="false" customHeight="false" outlineLevel="0" collapsed="false">
      <c r="D29" s="6" t="n">
        <f aca="false">$B$7</f>
        <v>44886</v>
      </c>
      <c r="E29" s="7" t="n">
        <f aca="false">E28+0.1/24</f>
        <v>0.116666666666667</v>
      </c>
      <c r="F29" s="8" t="n">
        <f aca="false">D29+2415018.5+E29-$B$5/24</f>
        <v>2459904.575</v>
      </c>
      <c r="G29" s="9" t="n">
        <f aca="false">(F29-2451545)/36525</f>
        <v>0.228872689938403</v>
      </c>
      <c r="I29" s="0" t="n">
        <f aca="false">MOD(280.46646+G29*(36000.76983+G29*0.0003032),360)</f>
        <v>240.059506727855</v>
      </c>
      <c r="J29" s="0" t="n">
        <f aca="false">357.52911+G29*(35999.05029-0.0001537*G29)</f>
        <v>8596.72857704894</v>
      </c>
      <c r="K29" s="0" t="n">
        <f aca="false">0.016708634-G29*(0.000042037+0.0000001267*G29)</f>
        <v>0.0166990062418439</v>
      </c>
      <c r="L29" s="0" t="n">
        <f aca="false">SIN(RADIANS(J29))*(1.914602-G29*(0.004817+0.000014*G29))+SIN(RADIANS(2*J29))*(0.019993-0.000101*G29)+SIN(RADIANS(3*J29))*0.000289</f>
        <v>-1.33177337877803</v>
      </c>
      <c r="M29" s="0" t="n">
        <f aca="false">I29+L29</f>
        <v>238.727733349077</v>
      </c>
      <c r="N29" s="0" t="n">
        <f aca="false">J29+L29</f>
        <v>8595.39680367016</v>
      </c>
      <c r="O29" s="0" t="n">
        <f aca="false">(1.000001018*(1-K29*K29))/(1+K29*COS(RADIANS(N29)))</f>
        <v>0.987975650827598</v>
      </c>
      <c r="P29" s="0" t="n">
        <f aca="false">M29-0.00569-0.00478*SIN(RADIANS(125.04-1934.136*G29))</f>
        <v>238.718822088344</v>
      </c>
      <c r="Q29" s="0" t="n">
        <f aca="false">23+(26+((21.448-G29*(46.815+G29*(0.00059-G29*0.001813))))/60)/60</f>
        <v>23.4363148099585</v>
      </c>
      <c r="R29" s="0" t="n">
        <f aca="false">Q29+0.00256*COS(RADIANS(125.04-1934.136*G29))</f>
        <v>23.4382061865863</v>
      </c>
      <c r="S29" s="0" t="n">
        <f aca="false">DEGREES(ATAN2(COS(RADIANS(P29)),COS(RADIANS(R29))*SIN(RADIANS(P29))))</f>
        <v>-123.51244178459</v>
      </c>
      <c r="T29" s="0" t="n">
        <f aca="false">DEGREES(ASIN(SIN(RADIANS(R29))*SIN(RADIANS(P29))))</f>
        <v>-19.873049490719</v>
      </c>
      <c r="U29" s="0" t="n">
        <f aca="false">TAN(RADIANS(R29/2))*TAN(RADIANS(R29/2))</f>
        <v>0.0430304322075232</v>
      </c>
      <c r="V29" s="0" t="n">
        <f aca="false">4*DEGREES(U29*SIN(2*RADIANS(I29))-2*K29*SIN(RADIANS(J29))+4*K29*U29*SIN(RADIANS(J29))*COS(2*RADIANS(I29))-0.5*U29*U29*SIN(4*RADIANS(I29))-1.25*K29*K29*SIN(2*RADIANS(J29)))</f>
        <v>14.2675149851002</v>
      </c>
      <c r="W29" s="0" t="n">
        <f aca="false">DEGREES(ACOS(COS(RADIANS(90.833))/(COS(RADIANS($B$3))*COS(RADIANS(T29)))-TAN(RADIANS($B$3))*TAN(RADIANS(T29))))</f>
        <v>43.8790998802449</v>
      </c>
      <c r="X29" s="7" t="n">
        <f aca="false">(720-4*$B$4-V29+$B$5*60)/1440</f>
        <v>0.49982811459368</v>
      </c>
      <c r="Y29" s="7" t="n">
        <f aca="false">X29-W29*4/1440</f>
        <v>0.377941726037445</v>
      </c>
      <c r="Z29" s="7" t="n">
        <f aca="false">X29+W29*4/1440</f>
        <v>0.621714503149916</v>
      </c>
      <c r="AA29" s="10" t="n">
        <f aca="false">8*W29</f>
        <v>351.032799041959</v>
      </c>
      <c r="AB29" s="0" t="n">
        <f aca="false">MOD(E29*1440+V29+4*$B$4-60*$B$5,1440)</f>
        <v>168.2475149851</v>
      </c>
      <c r="AC29" s="0" t="n">
        <f aca="false">IF(AB29/4&lt;0,AB29/4+180,AB29/4-180)</f>
        <v>-137.938121253725</v>
      </c>
      <c r="AD29" s="0" t="n">
        <f aca="false">DEGREES(ACOS(SIN(RADIANS($B$3))*SIN(RADIANS(T29))+COS(RADIANS($B$3))*COS(RADIANS(T29))*COS(RADIANS(AC29))))</f>
        <v>127.423103982817</v>
      </c>
      <c r="AE29" s="0" t="n">
        <f aca="false">90-AD29</f>
        <v>-37.4231039828174</v>
      </c>
      <c r="AF29" s="0" t="n">
        <f aca="false">IF(AE29&gt;85,0,IF(AE29&gt;5,58.1/TAN(RADIANS(AE29))-0.07/POWER(TAN(RADIANS(AE29)),3)+0.000086/POWER(TAN(RADIANS(AE29)),5),IF(AE29&gt;-0.575,1735+AE29*(-518.2+AE29*(103.4+AE29*(-12.79+AE29*0.711))),-20.772/TAN(RADIANS(AE29)))))/3600</f>
        <v>0.007540543007226</v>
      </c>
      <c r="AG29" s="0" t="n">
        <f aca="false">AE29+AF29</f>
        <v>-37.4155634398102</v>
      </c>
      <c r="AH29" s="0" t="n">
        <f aca="false">IF(AC29&gt;0,MOD(DEGREES(ACOS(((SIN(RADIANS($B$3))*COS(RADIANS(AD29)))-SIN(RADIANS(T29)))/(COS(RADIANS($B$3))*SIN(RADIANS(AD29)))))+180,360),MOD(540-DEGREES(ACOS(((SIN(RADIANS($B$3))*COS(RADIANS(AD29)))-SIN(RADIANS(T29)))/(COS(RADIANS($B$3))*SIN(RADIANS(AD29))))),360))</f>
        <v>52.4976199823141</v>
      </c>
    </row>
    <row r="30" customFormat="false" ht="15" hidden="false" customHeight="false" outlineLevel="0" collapsed="false">
      <c r="D30" s="6" t="n">
        <f aca="false">$B$7</f>
        <v>44886</v>
      </c>
      <c r="E30" s="7" t="n">
        <f aca="false">E29+0.1/24</f>
        <v>0.120833333333333</v>
      </c>
      <c r="F30" s="8" t="n">
        <f aca="false">D30+2415018.5+E30-$B$5/24</f>
        <v>2459904.57916667</v>
      </c>
      <c r="G30" s="9" t="n">
        <f aca="false">(F30-2451545)/36525</f>
        <v>0.228872804015513</v>
      </c>
      <c r="I30" s="0" t="n">
        <f aca="false">MOD(280.46646+G30*(36000.76983+G30*0.0003032),360)</f>
        <v>240.063613591628</v>
      </c>
      <c r="J30" s="0" t="n">
        <f aca="false">357.52911+G30*(35999.05029-0.0001537*G30)</f>
        <v>8596.73268371653</v>
      </c>
      <c r="K30" s="0" t="n">
        <f aca="false">0.016708634-G30*(0.000042037+0.0000001267*G30)</f>
        <v>0.0166990062370419</v>
      </c>
      <c r="L30" s="0" t="n">
        <f aca="false">SIN(RADIANS(J30))*(1.914602-G30*(0.004817+0.000014*G30))+SIN(RADIANS(2*J30))*(0.019993-0.000101*G30)+SIN(RADIANS(3*J30))*0.000289</f>
        <v>-1.33167338120111</v>
      </c>
      <c r="M30" s="0" t="n">
        <f aca="false">I30+L30</f>
        <v>238.731940210427</v>
      </c>
      <c r="N30" s="0" t="n">
        <f aca="false">J30+L30</f>
        <v>8595.40101033533</v>
      </c>
      <c r="O30" s="0" t="n">
        <f aca="false">(1.000001018*(1-K30*K30))/(1+K30*COS(RADIANS(N30)))</f>
        <v>0.987974810290054</v>
      </c>
      <c r="P30" s="0" t="n">
        <f aca="false">M30-0.00569-0.00478*SIN(RADIANS(125.04-1934.136*G30))</f>
        <v>238.723028963293</v>
      </c>
      <c r="Q30" s="0" t="n">
        <f aca="false">23+(26+((21.448-G30*(46.815+G30*(0.00059-G30*0.001813))))/60)/60</f>
        <v>23.4363148084751</v>
      </c>
      <c r="R30" s="0" t="n">
        <f aca="false">Q30+0.00256*COS(RADIANS(125.04-1934.136*G30))</f>
        <v>23.4382061917463</v>
      </c>
      <c r="S30" s="0" t="n">
        <f aca="false">DEGREES(ATAN2(COS(RADIANS(P30)),COS(RADIANS(R30))*SIN(RADIANS(P30))))</f>
        <v>-123.508077696733</v>
      </c>
      <c r="T30" s="0" t="n">
        <f aca="false">DEGREES(ASIN(SIN(RADIANS(R30))*SIN(RADIANS(P30))))</f>
        <v>-19.8739733151927</v>
      </c>
      <c r="U30" s="0" t="n">
        <f aca="false">TAN(RADIANS(R30/2))*TAN(RADIANS(R30/2))</f>
        <v>0.043030432227009</v>
      </c>
      <c r="V30" s="0" t="n">
        <f aca="false">4*DEGREES(U30*SIN(2*RADIANS(I30))-2*K30*SIN(RADIANS(J30))+4*K30*U30*SIN(RADIANS(J30))*COS(2*RADIANS(I30))-0.5*U30*U30*SIN(4*RADIANS(I30))-1.25*K30*K30*SIN(2*RADIANS(J30)))</f>
        <v>14.2664742393699</v>
      </c>
      <c r="W30" s="0" t="n">
        <f aca="false">DEGREES(ACOS(COS(RADIANS(90.833))/(COS(RADIANS($B$3))*COS(RADIANS(T30)))-TAN(RADIANS($B$3))*TAN(RADIANS(T30))))</f>
        <v>43.8759624784708</v>
      </c>
      <c r="X30" s="7" t="n">
        <f aca="false">(720-4*$B$4-V30+$B$5*60)/1440</f>
        <v>0.499828837333771</v>
      </c>
      <c r="Y30" s="7" t="n">
        <f aca="false">X30-W30*4/1440</f>
        <v>0.377951163782463</v>
      </c>
      <c r="Z30" s="7" t="n">
        <f aca="false">X30+W30*4/1440</f>
        <v>0.621706510885079</v>
      </c>
      <c r="AA30" s="10" t="n">
        <f aca="false">8*W30</f>
        <v>351.007699827766</v>
      </c>
      <c r="AB30" s="0" t="n">
        <f aca="false">MOD(E30*1440+V30+4*$B$4-60*$B$5,1440)</f>
        <v>174.24647423937</v>
      </c>
      <c r="AC30" s="0" t="n">
        <f aca="false">IF(AB30/4&lt;0,AB30/4+180,AB30/4-180)</f>
        <v>-136.438381440158</v>
      </c>
      <c r="AD30" s="0" t="n">
        <f aca="false">DEGREES(ACOS(SIN(RADIANS($B$3))*SIN(RADIANS(T30))+COS(RADIANS($B$3))*COS(RADIANS(T30))*COS(RADIANS(AC30))))</f>
        <v>126.905517005455</v>
      </c>
      <c r="AE30" s="0" t="n">
        <f aca="false">90-AD30</f>
        <v>-36.9055170054553</v>
      </c>
      <c r="AF30" s="0" t="n">
        <f aca="false">IF(AE30&gt;85,0,IF(AE30&gt;5,58.1/TAN(RADIANS(AE30))-0.07/POWER(TAN(RADIANS(AE30)),3)+0.000086/POWER(TAN(RADIANS(AE30)),5),IF(AE30&gt;-0.575,1735+AE30*(-518.2+AE30*(103.4+AE30*(-12.79+AE30*0.711))),-20.772/TAN(RADIANS(AE30)))))/3600</f>
        <v>0.0076833775140352</v>
      </c>
      <c r="AG30" s="0" t="n">
        <f aca="false">AE30+AF30</f>
        <v>-36.8978336279412</v>
      </c>
      <c r="AH30" s="0" t="n">
        <f aca="false">IF(AC30&gt;0,MOD(DEGREES(ACOS(((SIN(RADIANS($B$3))*COS(RADIANS(AD30)))-SIN(RADIANS(T30)))/(COS(RADIANS($B$3))*SIN(RADIANS(AD30)))))+180,360),MOD(540-DEGREES(ACOS(((SIN(RADIANS($B$3))*COS(RADIANS(AD30)))-SIN(RADIANS(T30)))/(COS(RADIANS($B$3))*SIN(RADIANS(AD30))))),360))</f>
        <v>54.1440423608332</v>
      </c>
    </row>
    <row r="31" customFormat="false" ht="15" hidden="false" customHeight="false" outlineLevel="0" collapsed="false">
      <c r="D31" s="6" t="n">
        <f aca="false">$B$7</f>
        <v>44886</v>
      </c>
      <c r="E31" s="7" t="n">
        <f aca="false">E30+0.1/24</f>
        <v>0.125</v>
      </c>
      <c r="F31" s="8" t="n">
        <f aca="false">D31+2415018.5+E31-$B$5/24</f>
        <v>2459904.58333333</v>
      </c>
      <c r="G31" s="9" t="n">
        <f aca="false">(F31-2451545)/36525</f>
        <v>0.228872918092635</v>
      </c>
      <c r="I31" s="0" t="n">
        <f aca="false">MOD(280.46646+G31*(36000.76983+G31*0.0003032),360)</f>
        <v>240.06772045586</v>
      </c>
      <c r="J31" s="0" t="n">
        <f aca="false">357.52911+G31*(35999.05029-0.0001537*G31)</f>
        <v>8596.73679038457</v>
      </c>
      <c r="K31" s="0" t="n">
        <f aca="false">0.016708634-G31*(0.000042037+0.0000001267*G31)</f>
        <v>0.0166990062322398</v>
      </c>
      <c r="L31" s="0" t="n">
        <f aca="false">SIN(RADIANS(J31))*(1.914602-G31*(0.004817+0.000014*G31))+SIN(RADIANS(2*J31))*(0.019993-0.000101*G31)+SIN(RADIANS(3*J31))*0.000289</f>
        <v>-1.33157337645566</v>
      </c>
      <c r="M31" s="0" t="n">
        <f aca="false">I31+L31</f>
        <v>238.736147079404</v>
      </c>
      <c r="N31" s="0" t="n">
        <f aca="false">J31+L31</f>
        <v>8595.40521700812</v>
      </c>
      <c r="O31" s="0" t="n">
        <f aca="false">(1.000001018*(1-K31*K31))/(1+K31*COS(RADIANS(N31)))</f>
        <v>0.987973969814999</v>
      </c>
      <c r="P31" s="0" t="n">
        <f aca="false">M31-0.00569-0.00478*SIN(RADIANS(125.04-1934.136*G31))</f>
        <v>238.72723584587</v>
      </c>
      <c r="Q31" s="0" t="n">
        <f aca="false">23+(26+((21.448-G31*(46.815+G31*(0.00059-G31*0.001813))))/60)/60</f>
        <v>23.4363148069916</v>
      </c>
      <c r="R31" s="0" t="n">
        <f aca="false">Q31+0.00256*COS(RADIANS(125.04-1934.136*G31))</f>
        <v>23.4382061969064</v>
      </c>
      <c r="S31" s="0" t="n">
        <f aca="false">DEGREES(ATAN2(COS(RADIANS(P31)),COS(RADIANS(R31))*SIN(RADIANS(P31))))</f>
        <v>-123.503713550095</v>
      </c>
      <c r="T31" s="0" t="n">
        <f aca="false">DEGREES(ASIN(SIN(RADIANS(R31))*SIN(RADIANS(P31))))</f>
        <v>-19.8748970350691</v>
      </c>
      <c r="U31" s="0" t="n">
        <f aca="false">TAN(RADIANS(R31/2))*TAN(RADIANS(R31/2))</f>
        <v>0.0430304322464947</v>
      </c>
      <c r="V31" s="0" t="n">
        <f aca="false">4*DEGREES(U31*SIN(2*RADIANS(I31))-2*K31*SIN(RADIANS(J31))+4*K31*U31*SIN(RADIANS(J31))*COS(2*RADIANS(I31))-0.5*U31*U31*SIN(4*RADIANS(I31))-1.25*K31*K31*SIN(2*RADIANS(J31)))</f>
        <v>14.2654332601487</v>
      </c>
      <c r="W31" s="0" t="n">
        <f aca="false">DEGREES(ACOS(COS(RADIANS(90.833))/(COS(RADIANS($B$3))*COS(RADIANS(T31)))-TAN(RADIANS($B$3))*TAN(RADIANS(T31))))</f>
        <v>43.8728252174667</v>
      </c>
      <c r="X31" s="7" t="n">
        <f aca="false">(720-4*$B$4-V31+$B$5*60)/1440</f>
        <v>0.499829560236008</v>
      </c>
      <c r="Y31" s="7" t="n">
        <f aca="false">X31-W31*4/1440</f>
        <v>0.3779606012986</v>
      </c>
      <c r="Z31" s="7" t="n">
        <f aca="false">X31+W31*4/1440</f>
        <v>0.621698519173415</v>
      </c>
      <c r="AA31" s="10" t="n">
        <f aca="false">8*W31</f>
        <v>350.982601739734</v>
      </c>
      <c r="AB31" s="0" t="n">
        <f aca="false">MOD(E31*1440+V31+4*$B$4-60*$B$5,1440)</f>
        <v>180.245433260149</v>
      </c>
      <c r="AC31" s="0" t="n">
        <f aca="false">IF(AB31/4&lt;0,AB31/4+180,AB31/4-180)</f>
        <v>-134.938641684963</v>
      </c>
      <c r="AD31" s="0" t="n">
        <f aca="false">DEGREES(ACOS(SIN(RADIANS($B$3))*SIN(RADIANS(T31))+COS(RADIANS($B$3))*COS(RADIANS(T31))*COS(RADIANS(AC31))))</f>
        <v>126.377100874723</v>
      </c>
      <c r="AE31" s="0" t="n">
        <f aca="false">90-AD31</f>
        <v>-36.3771008747231</v>
      </c>
      <c r="AF31" s="0" t="n">
        <f aca="false">IF(AE31&gt;85,0,IF(AE31&gt;5,58.1/TAN(RADIANS(AE31))-0.07/POWER(TAN(RADIANS(AE31)),3)+0.000086/POWER(TAN(RADIANS(AE31)),5),IF(AE31&gt;-0.575,1735+AE31*(-518.2+AE31*(103.4+AE31*(-12.79+AE31*0.711))),-20.772/TAN(RADIANS(AE31)))))/3600</f>
        <v>0.00783278977875531</v>
      </c>
      <c r="AG31" s="0" t="n">
        <f aca="false">AE31+AF31</f>
        <v>-36.3692680849444</v>
      </c>
      <c r="AH31" s="0" t="n">
        <f aca="false">IF(AC31&gt;0,MOD(DEGREES(ACOS(((SIN(RADIANS($B$3))*COS(RADIANS(AD31)))-SIN(RADIANS(T31)))/(COS(RADIANS($B$3))*SIN(RADIANS(AD31)))))+180,360),MOD(540-DEGREES(ACOS(((SIN(RADIANS($B$3))*COS(RADIANS(AD31)))-SIN(RADIANS(T31)))/(COS(RADIANS($B$3))*SIN(RADIANS(AD31))))),360))</f>
        <v>55.7738175310812</v>
      </c>
    </row>
    <row r="32" customFormat="false" ht="15" hidden="false" customHeight="false" outlineLevel="0" collapsed="false">
      <c r="D32" s="6" t="n">
        <f aca="false">$B$7</f>
        <v>44886</v>
      </c>
      <c r="E32" s="7" t="n">
        <f aca="false">E31+0.1/24</f>
        <v>0.129166666666667</v>
      </c>
      <c r="F32" s="8" t="n">
        <f aca="false">D32+2415018.5+E32-$B$5/24</f>
        <v>2459904.5875</v>
      </c>
      <c r="G32" s="9" t="n">
        <f aca="false">(F32-2451545)/36525</f>
        <v>0.228873032169757</v>
      </c>
      <c r="I32" s="0" t="n">
        <f aca="false">MOD(280.46646+G32*(36000.76983+G32*0.0003032),360)</f>
        <v>240.071827320087</v>
      </c>
      <c r="J32" s="0" t="n">
        <f aca="false">357.52911+G32*(35999.05029-0.0001537*G32)</f>
        <v>8596.74089705262</v>
      </c>
      <c r="K32" s="0" t="n">
        <f aca="false">0.016708634-G32*(0.000042037+0.0000001267*G32)</f>
        <v>0.0166990062274377</v>
      </c>
      <c r="L32" s="0" t="n">
        <f aca="false">SIN(RADIANS(J32))*(1.914602-G32*(0.004817+0.000014*G32))+SIN(RADIANS(2*J32))*(0.019993-0.000101*G32)+SIN(RADIANS(3*J32))*0.000289</f>
        <v>-1.33147336455318</v>
      </c>
      <c r="M32" s="0" t="n">
        <f aca="false">I32+L32</f>
        <v>238.740353955534</v>
      </c>
      <c r="N32" s="0" t="n">
        <f aca="false">J32+L32</f>
        <v>8595.40942368807</v>
      </c>
      <c r="O32" s="0" t="n">
        <f aca="false">(1.000001018*(1-K32*K32))/(1+K32*COS(RADIANS(N32)))</f>
        <v>0.987973129402527</v>
      </c>
      <c r="P32" s="0" t="n">
        <f aca="false">M32-0.00569-0.00478*SIN(RADIANS(125.04-1934.136*G32))</f>
        <v>238.7314427356</v>
      </c>
      <c r="Q32" s="0" t="n">
        <f aca="false">23+(26+((21.448-G32*(46.815+G32*(0.00059-G32*0.001813))))/60)/60</f>
        <v>23.4363148055081</v>
      </c>
      <c r="R32" s="0" t="n">
        <f aca="false">Q32+0.00256*COS(RADIANS(125.04-1934.136*G32))</f>
        <v>23.4382062020664</v>
      </c>
      <c r="S32" s="0" t="n">
        <f aca="false">DEGREES(ATAN2(COS(RADIANS(P32)),COS(RADIANS(R32))*SIN(RADIANS(P32))))</f>
        <v>-123.49934934517</v>
      </c>
      <c r="T32" s="0" t="n">
        <f aca="false">DEGREES(ASIN(SIN(RADIANS(R32))*SIN(RADIANS(P32))))</f>
        <v>-19.8758206502372</v>
      </c>
      <c r="U32" s="0" t="n">
        <f aca="false">TAN(RADIANS(R32/2))*TAN(RADIANS(R32/2))</f>
        <v>0.0430304322659802</v>
      </c>
      <c r="V32" s="0" t="n">
        <f aca="false">4*DEGREES(U32*SIN(2*RADIANS(I32))-2*K32*SIN(RADIANS(J32))+4*K32*U32*SIN(RADIANS(J32))*COS(2*RADIANS(I32))-0.5*U32*U32*SIN(4*RADIANS(I32))-1.25*K32*K32*SIN(2*RADIANS(J32)))</f>
        <v>14.264392047566</v>
      </c>
      <c r="W32" s="0" t="n">
        <f aca="false">DEGREES(ACOS(COS(RADIANS(90.833))/(COS(RADIANS($B$3))*COS(RADIANS(T32)))-TAN(RADIANS($B$3))*TAN(RADIANS(T32))))</f>
        <v>43.8696880976348</v>
      </c>
      <c r="X32" s="7" t="n">
        <f aca="false">(720-4*$B$4-V32+$B$5*60)/1440</f>
        <v>0.499830283300301</v>
      </c>
      <c r="Y32" s="7" t="n">
        <f aca="false">X32-W32*4/1440</f>
        <v>0.377970038584649</v>
      </c>
      <c r="Z32" s="7" t="n">
        <f aca="false">X32+W32*4/1440</f>
        <v>0.621690528015954</v>
      </c>
      <c r="AA32" s="10" t="n">
        <f aca="false">8*W32</f>
        <v>350.957504781078</v>
      </c>
      <c r="AB32" s="0" t="n">
        <f aca="false">MOD(E32*1440+V32+4*$B$4-60*$B$5,1440)</f>
        <v>186.244392047566</v>
      </c>
      <c r="AC32" s="0" t="n">
        <f aca="false">IF(AB32/4&lt;0,AB32/4+180,AB32/4-180)</f>
        <v>-133.438901988109</v>
      </c>
      <c r="AD32" s="0" t="n">
        <f aca="false">DEGREES(ACOS(SIN(RADIANS($B$3))*SIN(RADIANS(T32))+COS(RADIANS($B$3))*COS(RADIANS(T32))*COS(RADIANS(AC32))))</f>
        <v>125.838390793613</v>
      </c>
      <c r="AE32" s="0" t="n">
        <f aca="false">90-AD32</f>
        <v>-35.8383907936127</v>
      </c>
      <c r="AF32" s="0" t="n">
        <f aca="false">IF(AE32&gt;85,0,IF(AE32&gt;5,58.1/TAN(RADIANS(AE32))-0.07/POWER(TAN(RADIANS(AE32)),3)+0.000086/POWER(TAN(RADIANS(AE32)),5),IF(AE32&gt;-0.575,1735+AE32*(-518.2+AE32*(103.4+AE32*(-12.79+AE32*0.711))),-20.772/TAN(RADIANS(AE32)))))/3600</f>
        <v>0.00798901401506365</v>
      </c>
      <c r="AG32" s="0" t="n">
        <f aca="false">AE32+AF32</f>
        <v>-35.8304017795976</v>
      </c>
      <c r="AH32" s="0" t="n">
        <f aca="false">IF(AC32&gt;0,MOD(DEGREES(ACOS(((SIN(RADIANS($B$3))*COS(RADIANS(AD32)))-SIN(RADIANS(T32)))/(COS(RADIANS($B$3))*SIN(RADIANS(AD32)))))+180,360),MOD(540-DEGREES(ACOS(((SIN(RADIANS($B$3))*COS(RADIANS(AD32)))-SIN(RADIANS(T32)))/(COS(RADIANS($B$3))*SIN(RADIANS(AD32))))),360))</f>
        <v>57.3872326658866</v>
      </c>
    </row>
    <row r="33" customFormat="false" ht="15" hidden="false" customHeight="false" outlineLevel="0" collapsed="false">
      <c r="D33" s="6" t="n">
        <f aca="false">$B$7</f>
        <v>44886</v>
      </c>
      <c r="E33" s="7" t="n">
        <f aca="false">E32+0.1/24</f>
        <v>0.133333333333333</v>
      </c>
      <c r="F33" s="8" t="n">
        <f aca="false">D33+2415018.5+E33-$B$5/24</f>
        <v>2459904.59166667</v>
      </c>
      <c r="G33" s="9" t="n">
        <f aca="false">(F33-2451545)/36525</f>
        <v>0.228873146246866</v>
      </c>
      <c r="I33" s="0" t="n">
        <f aca="false">MOD(280.46646+G33*(36000.76983+G33*0.0003032),360)</f>
        <v>240.07593418386</v>
      </c>
      <c r="J33" s="0" t="n">
        <f aca="false">357.52911+G33*(35999.05029-0.0001537*G33)</f>
        <v>8596.74500372021</v>
      </c>
      <c r="K33" s="0" t="n">
        <f aca="false">0.016708634-G33*(0.000042037+0.0000001267*G33)</f>
        <v>0.0166990062226356</v>
      </c>
      <c r="L33" s="0" t="n">
        <f aca="false">SIN(RADIANS(J33))*(1.914602-G33*(0.004817+0.000014*G33))+SIN(RADIANS(2*J33))*(0.019993-0.000101*G33)+SIN(RADIANS(3*J33))*0.000289</f>
        <v>-1.33137334550545</v>
      </c>
      <c r="M33" s="0" t="n">
        <f aca="false">I33+L33</f>
        <v>238.744560838355</v>
      </c>
      <c r="N33" s="0" t="n">
        <f aca="false">J33+L33</f>
        <v>8595.4136303747</v>
      </c>
      <c r="O33" s="0" t="n">
        <f aca="false">(1.000001018*(1-K33*K33))/(1+K33*COS(RADIANS(N33)))</f>
        <v>0.98797228905274</v>
      </c>
      <c r="P33" s="0" t="n">
        <f aca="false">M33-0.00569-0.00478*SIN(RADIANS(125.04-1934.136*G33))</f>
        <v>238.73564963202</v>
      </c>
      <c r="Q33" s="0" t="n">
        <f aca="false">23+(26+((21.448-G33*(46.815+G33*(0.00059-G33*0.001813))))/60)/60</f>
        <v>23.4363148040246</v>
      </c>
      <c r="R33" s="0" t="n">
        <f aca="false">Q33+0.00256*COS(RADIANS(125.04-1934.136*G33))</f>
        <v>23.4382062072264</v>
      </c>
      <c r="S33" s="0" t="n">
        <f aca="false">DEGREES(ATAN2(COS(RADIANS(P33)),COS(RADIANS(R33))*SIN(RADIANS(P33))))</f>
        <v>-123.494985082439</v>
      </c>
      <c r="T33" s="0" t="n">
        <f aca="false">DEGREES(ASIN(SIN(RADIANS(R33))*SIN(RADIANS(P33))))</f>
        <v>-19.876744160588</v>
      </c>
      <c r="U33" s="0" t="n">
        <f aca="false">TAN(RADIANS(R33/2))*TAN(RADIANS(R33/2))</f>
        <v>0.0430304322854657</v>
      </c>
      <c r="V33" s="0" t="n">
        <f aca="false">4*DEGREES(U33*SIN(2*RADIANS(I33))-2*K33*SIN(RADIANS(J33))+4*K33*U33*SIN(RADIANS(J33))*COS(2*RADIANS(I33))-0.5*U33*U33*SIN(4*RADIANS(I33))-1.25*K33*K33*SIN(2*RADIANS(J33)))</f>
        <v>14.2633506017507</v>
      </c>
      <c r="W33" s="0" t="n">
        <f aca="false">DEGREES(ACOS(COS(RADIANS(90.833))/(COS(RADIANS($B$3))*COS(RADIANS(T33)))-TAN(RADIANS($B$3))*TAN(RADIANS(T33))))</f>
        <v>43.8665511193691</v>
      </c>
      <c r="X33" s="7" t="n">
        <f aca="false">(720-4*$B$4-V33+$B$5*60)/1440</f>
        <v>0.499831006526562</v>
      </c>
      <c r="Y33" s="7" t="n">
        <f aca="false">X33-W33*4/1440</f>
        <v>0.377979475639426</v>
      </c>
      <c r="Z33" s="7" t="n">
        <f aca="false">X33+W33*4/1440</f>
        <v>0.621682537413698</v>
      </c>
      <c r="AA33" s="10" t="n">
        <f aca="false">8*W33</f>
        <v>350.932408954953</v>
      </c>
      <c r="AB33" s="0" t="n">
        <f aca="false">MOD(E33*1440+V33+4*$B$4-60*$B$5,1440)</f>
        <v>192.243350601751</v>
      </c>
      <c r="AC33" s="0" t="n">
        <f aca="false">IF(AB33/4&lt;0,AB33/4+180,AB33/4-180)</f>
        <v>-131.939162349562</v>
      </c>
      <c r="AD33" s="0" t="n">
        <f aca="false">DEGREES(ACOS(SIN(RADIANS($B$3))*SIN(RADIANS(T33))+COS(RADIANS($B$3))*COS(RADIANS(T33))*COS(RADIANS(AC33))))</f>
        <v>125.289915349797</v>
      </c>
      <c r="AE33" s="0" t="n">
        <f aca="false">90-AD33</f>
        <v>-35.2899153497969</v>
      </c>
      <c r="AF33" s="0" t="n">
        <f aca="false">IF(AE33&gt;85,0,IF(AE33&gt;5,58.1/TAN(RADIANS(AE33))-0.07/POWER(TAN(RADIANS(AE33)),3)+0.000086/POWER(TAN(RADIANS(AE33)),5),IF(AE33&gt;-0.575,1735+AE33*(-518.2+AE33*(103.4+AE33*(-12.79+AE33*0.711))),-20.772/TAN(RADIANS(AE33)))))/3600</f>
        <v>0.00815230538501262</v>
      </c>
      <c r="AG33" s="0" t="n">
        <f aca="false">AE33+AF33</f>
        <v>-35.2817630444119</v>
      </c>
      <c r="AH33" s="0" t="n">
        <f aca="false">IF(AC33&gt;0,MOD(DEGREES(ACOS(((SIN(RADIANS($B$3))*COS(RADIANS(AD33)))-SIN(RADIANS(T33)))/(COS(RADIANS($B$3))*SIN(RADIANS(AD33)))))+180,360),MOD(540-DEGREES(ACOS(((SIN(RADIANS($B$3))*COS(RADIANS(AD33)))-SIN(RADIANS(T33)))/(COS(RADIANS($B$3))*SIN(RADIANS(AD33))))),360))</f>
        <v>58.9846049008428</v>
      </c>
    </row>
    <row r="34" customFormat="false" ht="15" hidden="false" customHeight="false" outlineLevel="0" collapsed="false">
      <c r="D34" s="6" t="n">
        <f aca="false">$B$7</f>
        <v>44886</v>
      </c>
      <c r="E34" s="7" t="n">
        <f aca="false">E33+0.1/24</f>
        <v>0.1375</v>
      </c>
      <c r="F34" s="8" t="n">
        <f aca="false">D34+2415018.5+E34-$B$5/24</f>
        <v>2459904.59583333</v>
      </c>
      <c r="G34" s="9" t="n">
        <f aca="false">(F34-2451545)/36525</f>
        <v>0.228873260323988</v>
      </c>
      <c r="I34" s="0" t="n">
        <f aca="false">MOD(280.46646+G34*(36000.76983+G34*0.0003032),360)</f>
        <v>240.080041048092</v>
      </c>
      <c r="J34" s="0" t="n">
        <f aca="false">357.52911+G34*(35999.05029-0.0001537*G34)</f>
        <v>8596.74911038826</v>
      </c>
      <c r="K34" s="0" t="n">
        <f aca="false">0.016708634-G34*(0.000042037+0.0000001267*G34)</f>
        <v>0.0166990062178336</v>
      </c>
      <c r="L34" s="0" t="n">
        <f aca="false">SIN(RADIANS(J34))*(1.914602-G34*(0.004817+0.000014*G34))+SIN(RADIANS(2*J34))*(0.019993-0.000101*G34)+SIN(RADIANS(3*J34))*0.000289</f>
        <v>-1.33127331929065</v>
      </c>
      <c r="M34" s="0" t="n">
        <f aca="false">I34+L34</f>
        <v>238.748767728801</v>
      </c>
      <c r="N34" s="0" t="n">
        <f aca="false">J34+L34</f>
        <v>8595.41783706896</v>
      </c>
      <c r="O34" s="0" t="n">
        <f aca="false">(1.000001018*(1-K34*K34))/(1+K34*COS(RADIANS(N34)))</f>
        <v>0.987971448765454</v>
      </c>
      <c r="P34" s="0" t="n">
        <f aca="false">M34-0.00569-0.00478*SIN(RADIANS(125.04-1934.136*G34))</f>
        <v>238.739856536066</v>
      </c>
      <c r="Q34" s="0" t="n">
        <f aca="false">23+(26+((21.448-G34*(46.815+G34*(0.00059-G34*0.001813))))/60)/60</f>
        <v>23.4363148025412</v>
      </c>
      <c r="R34" s="0" t="n">
        <f aca="false">Q34+0.00256*COS(RADIANS(125.04-1934.136*G34))</f>
        <v>23.4382062123863</v>
      </c>
      <c r="S34" s="0" t="n">
        <f aca="false">DEGREES(ATAN2(COS(RADIANS(P34)),COS(RADIANS(R34))*SIN(RADIANS(P34))))</f>
        <v>-123.490620760937</v>
      </c>
      <c r="T34" s="0" t="n">
        <f aca="false">DEGREES(ASIN(SIN(RADIANS(R34))*SIN(RADIANS(P34))))</f>
        <v>-19.8776675663197</v>
      </c>
      <c r="U34" s="0" t="n">
        <f aca="false">TAN(RADIANS(R34/2))*TAN(RADIANS(R34/2))</f>
        <v>0.043030432304951</v>
      </c>
      <c r="V34" s="0" t="n">
        <f aca="false">4*DEGREES(U34*SIN(2*RADIANS(I34))-2*K34*SIN(RADIANS(J34))+4*K34*U34*SIN(RADIANS(J34))*COS(2*RADIANS(I34))-0.5*U34*U34*SIN(4*RADIANS(I34))-1.25*K34*K34*SIN(2*RADIANS(J34)))</f>
        <v>14.2623089224841</v>
      </c>
      <c r="W34" s="0" t="n">
        <f aca="false">DEGREES(ACOS(COS(RADIANS(90.833))/(COS(RADIANS($B$3))*COS(RADIANS(T34)))-TAN(RADIANS($B$3))*TAN(RADIANS(T34))))</f>
        <v>43.8634142820213</v>
      </c>
      <c r="X34" s="7" t="n">
        <f aca="false">(720-4*$B$4-V34+$B$5*60)/1440</f>
        <v>0.499831729914942</v>
      </c>
      <c r="Y34" s="7" t="n">
        <f aca="false">X34-W34*4/1440</f>
        <v>0.377988912464882</v>
      </c>
      <c r="Z34" s="7" t="n">
        <f aca="false">X34+W34*4/1440</f>
        <v>0.621674547365001</v>
      </c>
      <c r="AA34" s="10" t="n">
        <f aca="false">8*W34</f>
        <v>350.90731425617</v>
      </c>
      <c r="AB34" s="0" t="n">
        <f aca="false">MOD(E34*1440+V34+4*$B$4-60*$B$5,1440)</f>
        <v>198.242308922484</v>
      </c>
      <c r="AC34" s="0" t="n">
        <f aca="false">IF(AB34/4&lt;0,AB34/4+180,AB34/4-180)</f>
        <v>-130.439422769379</v>
      </c>
      <c r="AD34" s="0" t="n">
        <f aca="false">DEGREES(ACOS(SIN(RADIANS($B$3))*SIN(RADIANS(T34))+COS(RADIANS($B$3))*COS(RADIANS(T34))*COS(RADIANS(AC34))))</f>
        <v>124.732195986018</v>
      </c>
      <c r="AE34" s="0" t="n">
        <f aca="false">90-AD34</f>
        <v>-34.7321959860184</v>
      </c>
      <c r="AF34" s="0" t="n">
        <f aca="false">IF(AE34&gt;85,0,IF(AE34&gt;5,58.1/TAN(RADIANS(AE34))-0.07/POWER(TAN(RADIANS(AE34)),3)+0.000086/POWER(TAN(RADIANS(AE34)),5),IF(AE34&gt;-0.575,1735+AE34*(-518.2+AE34*(103.4+AE34*(-12.79+AE34*0.711))),-20.772/TAN(RADIANS(AE34)))))/3600</f>
        <v>0.00832294166975887</v>
      </c>
      <c r="AG34" s="0" t="n">
        <f aca="false">AE34+AF34</f>
        <v>-34.7238730443487</v>
      </c>
      <c r="AH34" s="0" t="n">
        <f aca="false">IF(AC34&gt;0,MOD(DEGREES(ACOS(((SIN(RADIANS($B$3))*COS(RADIANS(AD34)))-SIN(RADIANS(T34)))/(COS(RADIANS($B$3))*SIN(RADIANS(AD34)))))+180,360),MOD(540-DEGREES(ACOS(((SIN(RADIANS($B$3))*COS(RADIANS(AD34)))-SIN(RADIANS(T34)))/(COS(RADIANS($B$3))*SIN(RADIANS(AD34))))),360))</f>
        <v>60.566278024822</v>
      </c>
    </row>
    <row r="35" customFormat="false" ht="15" hidden="false" customHeight="false" outlineLevel="0" collapsed="false">
      <c r="D35" s="6" t="n">
        <f aca="false">$B$7</f>
        <v>44886</v>
      </c>
      <c r="E35" s="7" t="n">
        <f aca="false">E34+0.1/24</f>
        <v>0.141666666666667</v>
      </c>
      <c r="F35" s="8" t="n">
        <f aca="false">D35+2415018.5+E35-$B$5/24</f>
        <v>2459904.6</v>
      </c>
      <c r="G35" s="9" t="n">
        <f aca="false">(F35-2451545)/36525</f>
        <v>0.228873374401098</v>
      </c>
      <c r="I35" s="0" t="n">
        <f aca="false">MOD(280.46646+G35*(36000.76983+G35*0.0003032),360)</f>
        <v>240.084147911864</v>
      </c>
      <c r="J35" s="0" t="n">
        <f aca="false">357.52911+G35*(35999.05029-0.0001537*G35)</f>
        <v>8596.75321705584</v>
      </c>
      <c r="K35" s="0" t="n">
        <f aca="false">0.016708634-G35*(0.000042037+0.0000001267*G35)</f>
        <v>0.0166990062130315</v>
      </c>
      <c r="L35" s="0" t="n">
        <f aca="false">SIN(RADIANS(J35))*(1.914602-G35*(0.004817+0.000014*G35))+SIN(RADIANS(2*J35))*(0.019993-0.000101*G35)+SIN(RADIANS(3*J35))*0.000289</f>
        <v>-1.33117328593155</v>
      </c>
      <c r="M35" s="0" t="n">
        <f aca="false">I35+L35</f>
        <v>238.752974625933</v>
      </c>
      <c r="N35" s="0" t="n">
        <f aca="false">J35+L35</f>
        <v>8595.42204376991</v>
      </c>
      <c r="O35" s="0" t="n">
        <f aca="false">(1.000001018*(1-K35*K35))/(1+K35*COS(RADIANS(N35)))</f>
        <v>0.987970608540861</v>
      </c>
      <c r="P35" s="0" t="n">
        <f aca="false">M35-0.00569-0.00478*SIN(RADIANS(125.04-1934.136*G35))</f>
        <v>238.744063446798</v>
      </c>
      <c r="Q35" s="0" t="n">
        <f aca="false">23+(26+((21.448-G35*(46.815+G35*(0.00059-G35*0.001813))))/60)/60</f>
        <v>23.4363148010577</v>
      </c>
      <c r="R35" s="0" t="n">
        <f aca="false">Q35+0.00256*COS(RADIANS(125.04-1934.136*G35))</f>
        <v>23.4382062175463</v>
      </c>
      <c r="S35" s="0" t="n">
        <f aca="false">DEGREES(ATAN2(COS(RADIANS(P35)),COS(RADIANS(R35))*SIN(RADIANS(P35))))</f>
        <v>-123.48625638164</v>
      </c>
      <c r="T35" s="0" t="n">
        <f aca="false">DEGREES(ASIN(SIN(RADIANS(R35))*SIN(RADIANS(P35))))</f>
        <v>-19.878590867219</v>
      </c>
      <c r="U35" s="0" t="n">
        <f aca="false">TAN(RADIANS(R35/2))*TAN(RADIANS(R35/2))</f>
        <v>0.0430304323244363</v>
      </c>
      <c r="V35" s="0" t="n">
        <f aca="false">4*DEGREES(U35*SIN(2*RADIANS(I35))-2*K35*SIN(RADIANS(J35))+4*K35*U35*SIN(RADIANS(J35))*COS(2*RADIANS(I35))-0.5*U35*U35*SIN(4*RADIANS(I35))-1.25*K35*K35*SIN(2*RADIANS(J35)))</f>
        <v>14.2612670100118</v>
      </c>
      <c r="W35" s="0" t="n">
        <f aca="false">DEGREES(ACOS(COS(RADIANS(90.833))/(COS(RADIANS($B$3))*COS(RADIANS(T35)))-TAN(RADIANS($B$3))*TAN(RADIANS(T35))))</f>
        <v>43.8602775863409</v>
      </c>
      <c r="X35" s="7" t="n">
        <f aca="false">(720-4*$B$4-V35+$B$5*60)/1440</f>
        <v>0.49983245346527</v>
      </c>
      <c r="Y35" s="7" t="n">
        <f aca="false">X35-W35*4/1440</f>
        <v>0.377998349058767</v>
      </c>
      <c r="Z35" s="7" t="n">
        <f aca="false">X35+W35*4/1440</f>
        <v>0.621666557871772</v>
      </c>
      <c r="AA35" s="10" t="n">
        <f aca="false">8*W35</f>
        <v>350.882220690727</v>
      </c>
      <c r="AB35" s="0" t="n">
        <f aca="false">MOD(E35*1440+V35+4*$B$4-60*$B$5,1440)</f>
        <v>204.241267010012</v>
      </c>
      <c r="AC35" s="0" t="n">
        <f aca="false">IF(AB35/4&lt;0,AB35/4+180,AB35/4-180)</f>
        <v>-128.939683247497</v>
      </c>
      <c r="AD35" s="0" t="n">
        <f aca="false">DEGREES(ACOS(SIN(RADIANS($B$3))*SIN(RADIANS(T35))+COS(RADIANS($B$3))*COS(RADIANS(T35))*COS(RADIANS(AC35))))</f>
        <v>124.165746570518</v>
      </c>
      <c r="AE35" s="0" t="n">
        <f aca="false">90-AD35</f>
        <v>-34.1657465705183</v>
      </c>
      <c r="AF35" s="0" t="n">
        <f aca="false">IF(AE35&gt;85,0,IF(AE35&gt;5,58.1/TAN(RADIANS(AE35))-0.07/POWER(TAN(RADIANS(AE35)),3)+0.000086/POWER(TAN(RADIANS(AE35)),5),IF(AE35&gt;-0.575,1735+AE35*(-518.2+AE35*(103.4+AE35*(-12.79+AE35*0.711))),-20.772/TAN(RADIANS(AE35)))))/3600</f>
        <v>0.00850122510517383</v>
      </c>
      <c r="AG35" s="0" t="n">
        <f aca="false">AE35+AF35</f>
        <v>-34.1572453454131</v>
      </c>
      <c r="AH35" s="0" t="n">
        <f aca="false">IF(AC35&gt;0,MOD(DEGREES(ACOS(((SIN(RADIANS($B$3))*COS(RADIANS(AD35)))-SIN(RADIANS(T35)))/(COS(RADIANS($B$3))*SIN(RADIANS(AD35)))))+180,360),MOD(540-DEGREES(ACOS(((SIN(RADIANS($B$3))*COS(RADIANS(AD35)))-SIN(RADIANS(T35)))/(COS(RADIANS($B$3))*SIN(RADIANS(AD35))))),360))</f>
        <v>62.1326193365025</v>
      </c>
    </row>
    <row r="36" customFormat="false" ht="15" hidden="false" customHeight="false" outlineLevel="0" collapsed="false">
      <c r="D36" s="6" t="n">
        <f aca="false">$B$7</f>
        <v>44886</v>
      </c>
      <c r="E36" s="7" t="n">
        <f aca="false">E35+0.1/24</f>
        <v>0.145833333333333</v>
      </c>
      <c r="F36" s="8" t="n">
        <f aca="false">D36+2415018.5+E36-$B$5/24</f>
        <v>2459904.60416667</v>
      </c>
      <c r="G36" s="9" t="n">
        <f aca="false">(F36-2451545)/36525</f>
        <v>0.22887348847822</v>
      </c>
      <c r="I36" s="0" t="n">
        <f aca="false">MOD(280.46646+G36*(36000.76983+G36*0.0003032),360)</f>
        <v>240.088254776094</v>
      </c>
      <c r="J36" s="0" t="n">
        <f aca="false">357.52911+G36*(35999.05029-0.0001537*G36)</f>
        <v>8596.75732372389</v>
      </c>
      <c r="K36" s="0" t="n">
        <f aca="false">0.016708634-G36*(0.000042037+0.0000001267*G36)</f>
        <v>0.0166990062082294</v>
      </c>
      <c r="L36" s="0" t="n">
        <f aca="false">SIN(RADIANS(J36))*(1.914602-G36*(0.004817+0.000014*G36))+SIN(RADIANS(2*J36))*(0.019993-0.000101*G36)+SIN(RADIANS(3*J36))*0.000289</f>
        <v>-1.33107324540644</v>
      </c>
      <c r="M36" s="0" t="n">
        <f aca="false">I36+L36</f>
        <v>238.757181530687</v>
      </c>
      <c r="N36" s="0" t="n">
        <f aca="false">J36+L36</f>
        <v>8595.42625047848</v>
      </c>
      <c r="O36" s="0" t="n">
        <f aca="false">(1.000001018*(1-K36*K36))/(1+K36*COS(RADIANS(N36)))</f>
        <v>0.987969768378779</v>
      </c>
      <c r="P36" s="0" t="n">
        <f aca="false">M36-0.00569-0.00478*SIN(RADIANS(125.04-1934.136*G36))</f>
        <v>238.748270365153</v>
      </c>
      <c r="Q36" s="0" t="n">
        <f aca="false">23+(26+((21.448-G36*(46.815+G36*(0.00059-G36*0.001813))))/60)/60</f>
        <v>23.4363147995742</v>
      </c>
      <c r="R36" s="0" t="n">
        <f aca="false">Q36+0.00256*COS(RADIANS(125.04-1934.136*G36))</f>
        <v>23.4382062227062</v>
      </c>
      <c r="S36" s="0" t="n">
        <f aca="false">DEGREES(ATAN2(COS(RADIANS(P36)),COS(RADIANS(R36))*SIN(RADIANS(P36))))</f>
        <v>-123.481891943578</v>
      </c>
      <c r="T36" s="0" t="n">
        <f aca="false">DEGREES(ASIN(SIN(RADIANS(R36))*SIN(RADIANS(P36))))</f>
        <v>-19.8795140634843</v>
      </c>
      <c r="U36" s="0" t="n">
        <f aca="false">TAN(RADIANS(R36/2))*TAN(RADIANS(R36/2))</f>
        <v>0.0430304323439214</v>
      </c>
      <c r="V36" s="0" t="n">
        <f aca="false">4*DEGREES(U36*SIN(2*RADIANS(I36))-2*K36*SIN(RADIANS(J36))+4*K36*U36*SIN(RADIANS(J36))*COS(2*RADIANS(I36))-0.5*U36*U36*SIN(4*RADIANS(I36))-1.25*K36*K36*SIN(2*RADIANS(J36)))</f>
        <v>14.2602248641153</v>
      </c>
      <c r="W36" s="0" t="n">
        <f aca="false">DEGREES(ACOS(COS(RADIANS(90.833))/(COS(RADIANS($B$3))*COS(RADIANS(T36)))-TAN(RADIANS($B$3))*TAN(RADIANS(T36))))</f>
        <v>43.8571410316784</v>
      </c>
      <c r="X36" s="7" t="n">
        <f aca="false">(720-4*$B$4-V36+$B$5*60)/1440</f>
        <v>0.499833177177698</v>
      </c>
      <c r="Y36" s="7" t="n">
        <f aca="false">X36-W36*4/1440</f>
        <v>0.378007785423036</v>
      </c>
      <c r="Z36" s="7" t="n">
        <f aca="false">X36+W36*4/1440</f>
        <v>0.62165856893236</v>
      </c>
      <c r="AA36" s="10" t="n">
        <f aca="false">8*W36</f>
        <v>350.857128253427</v>
      </c>
      <c r="AB36" s="0" t="n">
        <f aca="false">MOD(E36*1440+V36+4*$B$4-60*$B$5,1440)</f>
        <v>210.240224864115</v>
      </c>
      <c r="AC36" s="0" t="n">
        <f aca="false">IF(AB36/4&lt;0,AB36/4+180,AB36/4-180)</f>
        <v>-127.439943783971</v>
      </c>
      <c r="AD36" s="0" t="n">
        <f aca="false">DEGREES(ACOS(SIN(RADIANS($B$3))*SIN(RADIANS(T36))+COS(RADIANS($B$3))*COS(RADIANS(T36))*COS(RADIANS(AC36))))</f>
        <v>123.591073062189</v>
      </c>
      <c r="AE36" s="0" t="n">
        <f aca="false">90-AD36</f>
        <v>-33.591073062189</v>
      </c>
      <c r="AF36" s="0" t="n">
        <f aca="false">IF(AE36&gt;85,0,IF(AE36&gt;5,58.1/TAN(RADIANS(AE36))-0.07/POWER(TAN(RADIANS(AE36)),3)+0.000086/POWER(TAN(RADIANS(AE36)),5),IF(AE36&gt;-0.575,1735+AE36*(-518.2+AE36*(103.4+AE36*(-12.79+AE36*0.711))),-20.772/TAN(RADIANS(AE36)))))/3600</f>
        <v>0.00868748440311321</v>
      </c>
      <c r="AG36" s="0" t="n">
        <f aca="false">AE36+AF36</f>
        <v>-33.5823855777859</v>
      </c>
      <c r="AH36" s="0" t="n">
        <f aca="false">IF(AC36&gt;0,MOD(DEGREES(ACOS(((SIN(RADIANS($B$3))*COS(RADIANS(AD36)))-SIN(RADIANS(T36)))/(COS(RADIANS($B$3))*SIN(RADIANS(AD36)))))+180,360),MOD(540-DEGREES(ACOS(((SIN(RADIANS($B$3))*COS(RADIANS(AD36)))-SIN(RADIANS(T36)))/(COS(RADIANS($B$3))*SIN(RADIANS(AD36))))),360))</f>
        <v>63.6840166771386</v>
      </c>
    </row>
    <row r="37" customFormat="false" ht="15" hidden="false" customHeight="false" outlineLevel="0" collapsed="false">
      <c r="D37" s="6" t="n">
        <f aca="false">$B$7</f>
        <v>44886</v>
      </c>
      <c r="E37" s="7" t="n">
        <f aca="false">E36+0.1/24</f>
        <v>0.15</v>
      </c>
      <c r="F37" s="8" t="n">
        <f aca="false">D37+2415018.5+E37-$B$5/24</f>
        <v>2459904.60833333</v>
      </c>
      <c r="G37" s="9" t="n">
        <f aca="false">(F37-2451545)/36525</f>
        <v>0.228873602555329</v>
      </c>
      <c r="I37" s="0" t="n">
        <f aca="false">MOD(280.46646+G37*(36000.76983+G37*0.0003032),360)</f>
        <v>240.092361639865</v>
      </c>
      <c r="J37" s="0" t="n">
        <f aca="false">357.52911+G37*(35999.05029-0.0001537*G37)</f>
        <v>8596.76143039148</v>
      </c>
      <c r="K37" s="0" t="n">
        <f aca="false">0.016708634-G37*(0.000042037+0.0000001267*G37)</f>
        <v>0.0166990062034273</v>
      </c>
      <c r="L37" s="0" t="n">
        <f aca="false">SIN(RADIANS(J37))*(1.914602-G37*(0.004817+0.000014*G37))+SIN(RADIANS(2*J37))*(0.019993-0.000101*G37)+SIN(RADIANS(3*J37))*0.000289</f>
        <v>-1.33097319773811</v>
      </c>
      <c r="M37" s="0" t="n">
        <f aca="false">I37+L37</f>
        <v>238.761388442127</v>
      </c>
      <c r="N37" s="0" t="n">
        <f aca="false">J37+L37</f>
        <v>8595.43045719374</v>
      </c>
      <c r="O37" s="0" t="n">
        <f aca="false">(1.000001018*(1-K37*K37))/(1+K37*COS(RADIANS(N37)))</f>
        <v>0.987968928279399</v>
      </c>
      <c r="P37" s="0" t="n">
        <f aca="false">M37-0.00569-0.00478*SIN(RADIANS(125.04-1934.136*G37))</f>
        <v>238.752477290192</v>
      </c>
      <c r="Q37" s="0" t="n">
        <f aca="false">23+(26+((21.448-G37*(46.815+G37*(0.00059-G37*0.001813))))/60)/60</f>
        <v>23.4363147980907</v>
      </c>
      <c r="R37" s="0" t="n">
        <f aca="false">Q37+0.00256*COS(RADIANS(125.04-1934.136*G37))</f>
        <v>23.438206227866</v>
      </c>
      <c r="S37" s="0" t="n">
        <f aca="false">DEGREES(ATAN2(COS(RADIANS(P37)),COS(RADIANS(R37))*SIN(RADIANS(P37))))</f>
        <v>-123.477527447726</v>
      </c>
      <c r="T37" s="0" t="n">
        <f aca="false">DEGREES(ASIN(SIN(RADIANS(R37))*SIN(RADIANS(P37))))</f>
        <v>-19.8804371549027</v>
      </c>
      <c r="U37" s="0" t="n">
        <f aca="false">TAN(RADIANS(R37/2))*TAN(RADIANS(R37/2))</f>
        <v>0.0430304323634064</v>
      </c>
      <c r="V37" s="0" t="n">
        <f aca="false">4*DEGREES(U37*SIN(2*RADIANS(I37))-2*K37*SIN(RADIANS(J37))+4*K37*U37*SIN(RADIANS(J37))*COS(2*RADIANS(I37))-0.5*U37*U37*SIN(4*RADIANS(I37))-1.25*K37*K37*SIN(2*RADIANS(J37)))</f>
        <v>14.25918248504</v>
      </c>
      <c r="W37" s="0" t="n">
        <f aca="false">DEGREES(ACOS(COS(RADIANS(90.833))/(COS(RADIANS($B$3))*COS(RADIANS(T37)))-TAN(RADIANS($B$3))*TAN(RADIANS(T37))))</f>
        <v>43.8540046187819</v>
      </c>
      <c r="X37" s="7" t="n">
        <f aca="false">(720-4*$B$4-V37+$B$5*60)/1440</f>
        <v>0.499833901052056</v>
      </c>
      <c r="Y37" s="7" t="n">
        <f aca="false">X37-W37*4/1440</f>
        <v>0.378017221555439</v>
      </c>
      <c r="Z37" s="7" t="n">
        <f aca="false">X37+W37*4/1440</f>
        <v>0.621650580548672</v>
      </c>
      <c r="AA37" s="10" t="n">
        <f aca="false">8*W37</f>
        <v>350.832036950255</v>
      </c>
      <c r="AB37" s="0" t="n">
        <f aca="false">MOD(E37*1440+V37+4*$B$4-60*$B$5,1440)</f>
        <v>216.23918248504</v>
      </c>
      <c r="AC37" s="0" t="n">
        <f aca="false">IF(AB37/4&lt;0,AB37/4+180,AB37/4-180)</f>
        <v>-125.94020437874</v>
      </c>
      <c r="AD37" s="0" t="n">
        <f aca="false">DEGREES(ACOS(SIN(RADIANS($B$3))*SIN(RADIANS(T37))+COS(RADIANS($B$3))*COS(RADIANS(T37))*COS(RADIANS(AC37))))</f>
        <v>123.008673259263</v>
      </c>
      <c r="AE37" s="0" t="n">
        <f aca="false">90-AD37</f>
        <v>-33.0086732592629</v>
      </c>
      <c r="AF37" s="0" t="n">
        <f aca="false">IF(AE37&gt;85,0,IF(AE37&gt;5,58.1/TAN(RADIANS(AE37))-0.07/POWER(TAN(RADIANS(AE37)),3)+0.000086/POWER(TAN(RADIANS(AE37)),5),IF(AE37&gt;-0.575,1735+AE37*(-518.2+AE37*(103.4+AE37*(-12.79+AE37*0.711))),-20.772/TAN(RADIANS(AE37)))))/3600</f>
        <v>0.00888207698386294</v>
      </c>
      <c r="AG37" s="0" t="n">
        <f aca="false">AE37+AF37</f>
        <v>-32.9997911822791</v>
      </c>
      <c r="AH37" s="0" t="n">
        <f aca="false">IF(AC37&gt;0,MOD(DEGREES(ACOS(((SIN(RADIANS($B$3))*COS(RADIANS(AD37)))-SIN(RADIANS(T37)))/(COS(RADIANS($B$3))*SIN(RADIANS(AD37)))))+180,360),MOD(540-DEGREES(ACOS(((SIN(RADIANS($B$3))*COS(RADIANS(AD37)))-SIN(RADIANS(T37)))/(COS(RADIANS($B$3))*SIN(RADIANS(AD37))))),360))</f>
        <v>65.2208756448997</v>
      </c>
    </row>
    <row r="38" customFormat="false" ht="15" hidden="false" customHeight="false" outlineLevel="0" collapsed="false">
      <c r="D38" s="6" t="n">
        <f aca="false">$B$7</f>
        <v>44886</v>
      </c>
      <c r="E38" s="7" t="n">
        <f aca="false">E37+0.1/24</f>
        <v>0.154166666666667</v>
      </c>
      <c r="F38" s="8" t="n">
        <f aca="false">D38+2415018.5+E38-$B$5/24</f>
        <v>2459904.6125</v>
      </c>
      <c r="G38" s="9" t="n">
        <f aca="false">(F38-2451545)/36525</f>
        <v>0.228873716632451</v>
      </c>
      <c r="I38" s="0" t="n">
        <f aca="false">MOD(280.46646+G38*(36000.76983+G38*0.0003032),360)</f>
        <v>240.096468504096</v>
      </c>
      <c r="J38" s="0" t="n">
        <f aca="false">357.52911+G38*(35999.05029-0.0001537*G38)</f>
        <v>8596.76553705953</v>
      </c>
      <c r="K38" s="0" t="n">
        <f aca="false">0.016708634-G38*(0.000042037+0.0000001267*G38)</f>
        <v>0.0166990061986252</v>
      </c>
      <c r="L38" s="0" t="n">
        <f aca="false">SIN(RADIANS(J38))*(1.914602-G38*(0.004817+0.000014*G38))+SIN(RADIANS(2*J38))*(0.019993-0.000101*G38)+SIN(RADIANS(3*J38))*0.000289</f>
        <v>-1.33087314290473</v>
      </c>
      <c r="M38" s="0" t="n">
        <f aca="false">I38+L38</f>
        <v>238.765595361192</v>
      </c>
      <c r="N38" s="0" t="n">
        <f aca="false">J38+L38</f>
        <v>8595.43466391662</v>
      </c>
      <c r="O38" s="0" t="n">
        <f aca="false">(1.000001018*(1-K38*K38))/(1+K38*COS(RADIANS(N38)))</f>
        <v>0.987968088242537</v>
      </c>
      <c r="P38" s="0" t="n">
        <f aca="false">M38-0.00569-0.00478*SIN(RADIANS(125.04-1934.136*G38))</f>
        <v>238.756684222857</v>
      </c>
      <c r="Q38" s="0" t="n">
        <f aca="false">23+(26+((21.448-G38*(46.815+G38*(0.00059-G38*0.001813))))/60)/60</f>
        <v>23.4363147966072</v>
      </c>
      <c r="R38" s="0" t="n">
        <f aca="false">Q38+0.00256*COS(RADIANS(125.04-1934.136*G38))</f>
        <v>23.4382062330259</v>
      </c>
      <c r="S38" s="0" t="n">
        <f aca="false">DEGREES(ATAN2(COS(RADIANS(P38)),COS(RADIANS(R38))*SIN(RADIANS(P38))))</f>
        <v>-123.473162893113</v>
      </c>
      <c r="T38" s="0" t="n">
        <f aca="false">DEGREES(ASIN(SIN(RADIANS(R38))*SIN(RADIANS(P38))))</f>
        <v>-19.8813601416733</v>
      </c>
      <c r="U38" s="0" t="n">
        <f aca="false">TAN(RADIANS(R38/2))*TAN(RADIANS(R38/2))</f>
        <v>0.0430304323828914</v>
      </c>
      <c r="V38" s="0" t="n">
        <f aca="false">4*DEGREES(U38*SIN(2*RADIANS(I38))-2*K38*SIN(RADIANS(J38))+4*K38*U38*SIN(RADIANS(J38))*COS(2*RADIANS(I38))-0.5*U38*U38*SIN(4*RADIANS(I38))-1.25*K38*K38*SIN(2*RADIANS(J38)))</f>
        <v>14.2581398725662</v>
      </c>
      <c r="W38" s="0" t="n">
        <f aca="false">DEGREES(ACOS(COS(RADIANS(90.833))/(COS(RADIANS($B$3))*COS(RADIANS(T38)))-TAN(RADIANS($B$3))*TAN(RADIANS(T38))))</f>
        <v>43.8508683469993</v>
      </c>
      <c r="X38" s="7" t="n">
        <f aca="false">(720-4*$B$4-V38+$B$5*60)/1440</f>
        <v>0.499834625088496</v>
      </c>
      <c r="Y38" s="7" t="n">
        <f aca="false">X38-W38*4/1440</f>
        <v>0.378026657457942</v>
      </c>
      <c r="Z38" s="7" t="n">
        <f aca="false">X38+W38*4/1440</f>
        <v>0.621642592719049</v>
      </c>
      <c r="AA38" s="10" t="n">
        <f aca="false">8*W38</f>
        <v>350.806946775994</v>
      </c>
      <c r="AB38" s="0" t="n">
        <f aca="false">MOD(E38*1440+V38+4*$B$4-60*$B$5,1440)</f>
        <v>222.238139872566</v>
      </c>
      <c r="AC38" s="0" t="n">
        <f aca="false">IF(AB38/4&lt;0,AB38/4+180,AB38/4-180)</f>
        <v>-124.440465031858</v>
      </c>
      <c r="AD38" s="0" t="n">
        <f aca="false">DEGREES(ACOS(SIN(RADIANS($B$3))*SIN(RADIANS(T38))+COS(RADIANS($B$3))*COS(RADIANS(T38))*COS(RADIANS(AC38))))</f>
        <v>122.4190366271</v>
      </c>
      <c r="AE38" s="0" t="n">
        <f aca="false">90-AD38</f>
        <v>-32.4190366270997</v>
      </c>
      <c r="AF38" s="0" t="n">
        <f aca="false">IF(AE38&gt;85,0,IF(AE38&gt;5,58.1/TAN(RADIANS(AE38))-0.07/POWER(TAN(RADIANS(AE38)),3)+0.000086/POWER(TAN(RADIANS(AE38)),5),IF(AE38&gt;-0.575,1735+AE38*(-518.2+AE38*(103.4+AE38*(-12.79+AE38*0.711))),-20.772/TAN(RADIANS(AE38)))))/3600</f>
        <v>0.00908539144662274</v>
      </c>
      <c r="AG38" s="0" t="n">
        <f aca="false">AE38+AF38</f>
        <v>-32.4099512356531</v>
      </c>
      <c r="AH38" s="0" t="n">
        <f aca="false">IF(AC38&gt;0,MOD(DEGREES(ACOS(((SIN(RADIANS($B$3))*COS(RADIANS(AD38)))-SIN(RADIANS(T38)))/(COS(RADIANS($B$3))*SIN(RADIANS(AD38)))))+180,360),MOD(540-DEGREES(ACOS(((SIN(RADIANS($B$3))*COS(RADIANS(AD38)))-SIN(RADIANS(T38)))/(COS(RADIANS($B$3))*SIN(RADIANS(AD38))))),360))</f>
        <v>66.7436169940271</v>
      </c>
    </row>
    <row r="39" customFormat="false" ht="15" hidden="false" customHeight="false" outlineLevel="0" collapsed="false">
      <c r="D39" s="6" t="n">
        <f aca="false">$B$7</f>
        <v>44886</v>
      </c>
      <c r="E39" s="7" t="n">
        <f aca="false">E38+0.1/24</f>
        <v>0.158333333333333</v>
      </c>
      <c r="F39" s="8" t="n">
        <f aca="false">D39+2415018.5+E39-$B$5/24</f>
        <v>2459904.61666667</v>
      </c>
      <c r="G39" s="9" t="n">
        <f aca="false">(F39-2451545)/36525</f>
        <v>0.228873830709561</v>
      </c>
      <c r="I39" s="0" t="n">
        <f aca="false">MOD(280.46646+G39*(36000.76983+G39*0.0003032),360)</f>
        <v>240.100575367869</v>
      </c>
      <c r="J39" s="0" t="n">
        <f aca="false">357.52911+G39*(35999.05029-0.0001537*G39)</f>
        <v>8596.76964372711</v>
      </c>
      <c r="K39" s="0" t="n">
        <f aca="false">0.016708634-G39*(0.000042037+0.0000001267*G39)</f>
        <v>0.0166990061938232</v>
      </c>
      <c r="L39" s="0" t="n">
        <f aca="false">SIN(RADIANS(J39))*(1.914602-G39*(0.004817+0.000014*G39))+SIN(RADIANS(2*J39))*(0.019993-0.000101*G39)+SIN(RADIANS(3*J39))*0.000289</f>
        <v>-1.33077308092923</v>
      </c>
      <c r="M39" s="0" t="n">
        <f aca="false">I39+L39</f>
        <v>238.76980228694</v>
      </c>
      <c r="N39" s="0" t="n">
        <f aca="false">J39+L39</f>
        <v>8595.43887064618</v>
      </c>
      <c r="O39" s="0" t="n">
        <f aca="false">(1.000001018*(1-K39*K39))/(1+K39*COS(RADIANS(N39)))</f>
        <v>0.987967248268388</v>
      </c>
      <c r="P39" s="0" t="n">
        <f aca="false">M39-0.00569-0.00478*SIN(RADIANS(125.04-1934.136*G39))</f>
        <v>238.760891162205</v>
      </c>
      <c r="Q39" s="0" t="n">
        <f aca="false">23+(26+((21.448-G39*(46.815+G39*(0.00059-G39*0.001813))))/60)/60</f>
        <v>23.4363147951238</v>
      </c>
      <c r="R39" s="0" t="n">
        <f aca="false">Q39+0.00256*COS(RADIANS(125.04-1934.136*G39))</f>
        <v>23.4382062381857</v>
      </c>
      <c r="S39" s="0" t="n">
        <f aca="false">DEGREES(ATAN2(COS(RADIANS(P39)),COS(RADIANS(R39))*SIN(RADIANS(P39))))</f>
        <v>-123.468798280716</v>
      </c>
      <c r="T39" s="0" t="n">
        <f aca="false">DEGREES(ASIN(SIN(RADIANS(R39))*SIN(RADIANS(P39))))</f>
        <v>-19.8822830235826</v>
      </c>
      <c r="U39" s="0" t="n">
        <f aca="false">TAN(RADIANS(R39/2))*TAN(RADIANS(R39/2))</f>
        <v>0.0430304324023762</v>
      </c>
      <c r="V39" s="0" t="n">
        <f aca="false">4*DEGREES(U39*SIN(2*RADIANS(I39))-2*K39*SIN(RADIANS(J39))+4*K39*U39*SIN(RADIANS(J39))*COS(2*RADIANS(I39))-0.5*U39*U39*SIN(4*RADIANS(I39))-1.25*K39*K39*SIN(2*RADIANS(J39)))</f>
        <v>14.2570970269407</v>
      </c>
      <c r="W39" s="0" t="n">
        <f aca="false">DEGREES(ACOS(COS(RADIANS(90.833))/(COS(RADIANS($B$3))*COS(RADIANS(T39)))-TAN(RADIANS($B$3))*TAN(RADIANS(T39))))</f>
        <v>43.8477322170814</v>
      </c>
      <c r="X39" s="7" t="n">
        <f aca="false">(720-4*$B$4-V39+$B$5*60)/1440</f>
        <v>0.499835349286847</v>
      </c>
      <c r="Y39" s="7" t="n">
        <f aca="false">X39-W39*4/1440</f>
        <v>0.378036093128287</v>
      </c>
      <c r="Z39" s="7" t="n">
        <f aca="false">X39+W39*4/1440</f>
        <v>0.621634605445406</v>
      </c>
      <c r="AA39" s="10" t="n">
        <f aca="false">8*W39</f>
        <v>350.781857736651</v>
      </c>
      <c r="AB39" s="0" t="n">
        <f aca="false">MOD(E39*1440+V39+4*$B$4-60*$B$5,1440)</f>
        <v>228.237097026941</v>
      </c>
      <c r="AC39" s="0" t="n">
        <f aca="false">IF(AB39/4&lt;0,AB39/4+180,AB39/4-180)</f>
        <v>-122.940725743265</v>
      </c>
      <c r="AD39" s="0" t="n">
        <f aca="false">DEGREES(ACOS(SIN(RADIANS($B$3))*SIN(RADIANS(T39))+COS(RADIANS($B$3))*COS(RADIANS(T39))*COS(RADIANS(AC39))))</f>
        <v>121.822644194128</v>
      </c>
      <c r="AE39" s="0" t="n">
        <f aca="false">90-AD39</f>
        <v>-31.8226441941282</v>
      </c>
      <c r="AF39" s="0" t="n">
        <f aca="false">IF(AE39&gt;85,0,IF(AE39&gt;5,58.1/TAN(RADIANS(AE39))-0.07/POWER(TAN(RADIANS(AE39)),3)+0.000086/POWER(TAN(RADIANS(AE39)),5),IF(AE39&gt;-0.575,1735+AE39*(-518.2+AE39*(103.4+AE39*(-12.79+AE39*0.711))),-20.772/TAN(RADIANS(AE39)))))/3600</f>
        <v>0.00929785031100184</v>
      </c>
      <c r="AG39" s="0" t="n">
        <f aca="false">AE39+AF39</f>
        <v>-31.8133463438172</v>
      </c>
      <c r="AH39" s="0" t="n">
        <f aca="false">IF(AC39&gt;0,MOD(DEGREES(ACOS(((SIN(RADIANS($B$3))*COS(RADIANS(AD39)))-SIN(RADIANS(T39)))/(COS(RADIANS($B$3))*SIN(RADIANS(AD39)))))+180,360),MOD(540-DEGREES(ACOS(((SIN(RADIANS($B$3))*COS(RADIANS(AD39)))-SIN(RADIANS(T39)))/(COS(RADIANS($B$3))*SIN(RADIANS(AD39))))),360))</f>
        <v>68.2526742179404</v>
      </c>
    </row>
    <row r="40" customFormat="false" ht="15" hidden="false" customHeight="false" outlineLevel="0" collapsed="false">
      <c r="D40" s="6" t="n">
        <f aca="false">$B$7</f>
        <v>44886</v>
      </c>
      <c r="E40" s="7" t="n">
        <f aca="false">E39+0.1/24</f>
        <v>0.1625</v>
      </c>
      <c r="F40" s="8" t="n">
        <f aca="false">D40+2415018.5+E40-$B$5/24</f>
        <v>2459904.62083333</v>
      </c>
      <c r="G40" s="9" t="n">
        <f aca="false">(F40-2451545)/36525</f>
        <v>0.228873944786683</v>
      </c>
      <c r="I40" s="0" t="n">
        <f aca="false">MOD(280.46646+G40*(36000.76983+G40*0.0003032),360)</f>
        <v>240.104682232099</v>
      </c>
      <c r="J40" s="0" t="n">
        <f aca="false">357.52911+G40*(35999.05029-0.0001537*G40)</f>
        <v>8596.77375039516</v>
      </c>
      <c r="K40" s="0" t="n">
        <f aca="false">0.016708634-G40*(0.000042037+0.0000001267*G40)</f>
        <v>0.0166990061890211</v>
      </c>
      <c r="L40" s="0" t="n">
        <f aca="false">SIN(RADIANS(J40))*(1.914602-G40*(0.004817+0.000014*G40))+SIN(RADIANS(2*J40))*(0.019993-0.000101*G40)+SIN(RADIANS(3*J40))*0.000289</f>
        <v>-1.33067301178963</v>
      </c>
      <c r="M40" s="0" t="n">
        <f aca="false">I40+L40</f>
        <v>238.774009220309</v>
      </c>
      <c r="N40" s="0" t="n">
        <f aca="false">J40+L40</f>
        <v>8595.44307738337</v>
      </c>
      <c r="O40" s="0" t="n">
        <f aca="false">(1.000001018*(1-K40*K40))/(1+K40*COS(RADIANS(N40)))</f>
        <v>0.987966408356768</v>
      </c>
      <c r="P40" s="0" t="n">
        <f aca="false">M40-0.00569-0.00478*SIN(RADIANS(125.04-1934.136*G40))</f>
        <v>238.765098109175</v>
      </c>
      <c r="Q40" s="0" t="n">
        <f aca="false">23+(26+((21.448-G40*(46.815+G40*(0.00059-G40*0.001813))))/60)/60</f>
        <v>23.4363147936403</v>
      </c>
      <c r="R40" s="0" t="n">
        <f aca="false">Q40+0.00256*COS(RADIANS(125.04-1934.136*G40))</f>
        <v>23.4382062433455</v>
      </c>
      <c r="S40" s="0" t="n">
        <f aca="false">DEGREES(ATAN2(COS(RADIANS(P40)),COS(RADIANS(R40))*SIN(RADIANS(P40))))</f>
        <v>-123.464433609567</v>
      </c>
      <c r="T40" s="0" t="n">
        <f aca="false">DEGREES(ASIN(SIN(RADIANS(R40))*SIN(RADIANS(P40))))</f>
        <v>-19.8832058008288</v>
      </c>
      <c r="U40" s="0" t="n">
        <f aca="false">TAN(RADIANS(R40/2))*TAN(RADIANS(R40/2))</f>
        <v>0.0430304324218609</v>
      </c>
      <c r="V40" s="0" t="n">
        <f aca="false">4*DEGREES(U40*SIN(2*RADIANS(I40))-2*K40*SIN(RADIANS(J40))+4*K40*U40*SIN(RADIANS(J40))*COS(2*RADIANS(I40))-0.5*U40*U40*SIN(4*RADIANS(I40))-1.25*K40*K40*SIN(2*RADIANS(J40)))</f>
        <v>14.2560539479436</v>
      </c>
      <c r="W40" s="0" t="n">
        <f aca="false">DEGREES(ACOS(COS(RADIANS(90.833))/(COS(RADIANS($B$3))*COS(RADIANS(T40)))-TAN(RADIANS($B$3))*TAN(RADIANS(T40))))</f>
        <v>43.8445962283787</v>
      </c>
      <c r="X40" s="7" t="n">
        <f aca="false">(720-4*$B$4-V40+$B$5*60)/1440</f>
        <v>0.499836073647261</v>
      </c>
      <c r="Y40" s="7" t="n">
        <f aca="false">X40-W40*4/1440</f>
        <v>0.378045528568432</v>
      </c>
      <c r="Z40" s="7" t="n">
        <f aca="false">X40+W40*4/1440</f>
        <v>0.621626618726091</v>
      </c>
      <c r="AA40" s="10" t="n">
        <f aca="false">8*W40</f>
        <v>350.756769827029</v>
      </c>
      <c r="AB40" s="0" t="n">
        <f aca="false">MOD(E40*1440+V40+4*$B$4-60*$B$5,1440)</f>
        <v>234.236053947944</v>
      </c>
      <c r="AC40" s="0" t="n">
        <f aca="false">IF(AB40/4&lt;0,AB40/4+180,AB40/4-180)</f>
        <v>-121.440986513014</v>
      </c>
      <c r="AD40" s="0" t="n">
        <f aca="false">DEGREES(ACOS(SIN(RADIANS($B$3))*SIN(RADIANS(T40))+COS(RADIANS($B$3))*COS(RADIANS(T40))*COS(RADIANS(AC40))))</f>
        <v>121.219968512017</v>
      </c>
      <c r="AE40" s="0" t="n">
        <f aca="false">90-AD40</f>
        <v>-31.219968512017</v>
      </c>
      <c r="AF40" s="0" t="n">
        <f aca="false">IF(AE40&gt;85,0,IF(AE40&gt;5,58.1/TAN(RADIANS(AE40))-0.07/POWER(TAN(RADIANS(AE40)),3)+0.000086/POWER(TAN(RADIANS(AE40)),5),IF(AE40&gt;-0.575,1735+AE40*(-518.2+AE40*(103.4+AE40*(-12.79+AE40*0.711))),-20.772/TAN(RADIANS(AE40)))))/3600</f>
        <v>0.00951991306490341</v>
      </c>
      <c r="AG40" s="0" t="n">
        <f aca="false">AE40+AF40</f>
        <v>-31.2104485989521</v>
      </c>
      <c r="AH40" s="0" t="n">
        <f aca="false">IF(AC40&gt;0,MOD(DEGREES(ACOS(((SIN(RADIANS($B$3))*COS(RADIANS(AD40)))-SIN(RADIANS(T40)))/(COS(RADIANS($B$3))*SIN(RADIANS(AD40)))))+180,360),MOD(540-DEGREES(ACOS(((SIN(RADIANS($B$3))*COS(RADIANS(AD40)))-SIN(RADIANS(T40)))/(COS(RADIANS($B$3))*SIN(RADIANS(AD40))))),360))</f>
        <v>69.7484913143984</v>
      </c>
    </row>
    <row r="41" customFormat="false" ht="15" hidden="false" customHeight="false" outlineLevel="0" collapsed="false">
      <c r="D41" s="6" t="n">
        <f aca="false">$B$7</f>
        <v>44886</v>
      </c>
      <c r="E41" s="7" t="n">
        <f aca="false">E40+0.1/24</f>
        <v>0.166666666666667</v>
      </c>
      <c r="F41" s="8" t="n">
        <f aca="false">D41+2415018.5+E41-$B$5/24</f>
        <v>2459904.625</v>
      </c>
      <c r="G41" s="9" t="n">
        <f aca="false">(F41-2451545)/36525</f>
        <v>0.228874058863792</v>
      </c>
      <c r="I41" s="0" t="n">
        <f aca="false">MOD(280.46646+G41*(36000.76983+G41*0.0003032),360)</f>
        <v>240.10878909587</v>
      </c>
      <c r="J41" s="0" t="n">
        <f aca="false">357.52911+G41*(35999.05029-0.0001537*G41)</f>
        <v>8596.77785706275</v>
      </c>
      <c r="K41" s="0" t="n">
        <f aca="false">0.016708634-G41*(0.000042037+0.0000001267*G41)</f>
        <v>0.016699006184219</v>
      </c>
      <c r="L41" s="0" t="n">
        <f aca="false">SIN(RADIANS(J41))*(1.914602-G41*(0.004817+0.000014*G41))+SIN(RADIANS(2*J41))*(0.019993-0.000101*G41)+SIN(RADIANS(3*J41))*0.000289</f>
        <v>-1.33057293550902</v>
      </c>
      <c r="M41" s="0" t="n">
        <f aca="false">I41+L41</f>
        <v>238.778216160361</v>
      </c>
      <c r="N41" s="0" t="n">
        <f aca="false">J41+L41</f>
        <v>8595.44728412724</v>
      </c>
      <c r="O41" s="0" t="n">
        <f aca="false">(1.000001018*(1-K41*K41))/(1+K41*COS(RADIANS(N41)))</f>
        <v>0.987965568507869</v>
      </c>
      <c r="P41" s="0" t="n">
        <f aca="false">M41-0.00569-0.00478*SIN(RADIANS(125.04-1934.136*G41))</f>
        <v>238.769305062827</v>
      </c>
      <c r="Q41" s="0" t="n">
        <f aca="false">23+(26+((21.448-G41*(46.815+G41*(0.00059-G41*0.001813))))/60)/60</f>
        <v>23.4363147921568</v>
      </c>
      <c r="R41" s="0" t="n">
        <f aca="false">Q41+0.00256*COS(RADIANS(125.04-1934.136*G41))</f>
        <v>23.4382062485053</v>
      </c>
      <c r="S41" s="0" t="n">
        <f aca="false">DEGREES(ATAN2(COS(RADIANS(P41)),COS(RADIANS(R41))*SIN(RADIANS(P41))))</f>
        <v>-123.460068880641</v>
      </c>
      <c r="T41" s="0" t="n">
        <f aca="false">DEGREES(ASIN(SIN(RADIANS(R41))*SIN(RADIANS(P41))))</f>
        <v>-19.884128473199</v>
      </c>
      <c r="U41" s="0" t="n">
        <f aca="false">TAN(RADIANS(R41/2))*TAN(RADIANS(R41/2))</f>
        <v>0.0430304324413455</v>
      </c>
      <c r="V41" s="0" t="n">
        <f aca="false">4*DEGREES(U41*SIN(2*RADIANS(I41))-2*K41*SIN(RADIANS(J41))+4*K41*U41*SIN(RADIANS(J41))*COS(2*RADIANS(I41))-0.5*U41*U41*SIN(4*RADIANS(I41))-1.25*K41*K41*SIN(2*RADIANS(J41)))</f>
        <v>14.2550106358218</v>
      </c>
      <c r="W41" s="0" t="n">
        <f aca="false">DEGREES(ACOS(COS(RADIANS(90.833))/(COS(RADIANS($B$3))*COS(RADIANS(T41)))-TAN(RADIANS($B$3))*TAN(RADIANS(T41))))</f>
        <v>43.8414603816396</v>
      </c>
      <c r="X41" s="7" t="n">
        <f aca="false">(720-4*$B$4-V41+$B$5*60)/1440</f>
        <v>0.499836798169568</v>
      </c>
      <c r="Y41" s="7" t="n">
        <f aca="false">X41-W41*4/1440</f>
        <v>0.378054963776125</v>
      </c>
      <c r="Z41" s="7" t="n">
        <f aca="false">X41+W41*4/1440</f>
        <v>0.621618632563011</v>
      </c>
      <c r="AA41" s="10" t="n">
        <f aca="false">8*W41</f>
        <v>350.731683053116</v>
      </c>
      <c r="AB41" s="0" t="n">
        <f aca="false">MOD(E41*1440+V41+4*$B$4-60*$B$5,1440)</f>
        <v>240.235010635822</v>
      </c>
      <c r="AC41" s="0" t="n">
        <f aca="false">IF(AB41/4&lt;0,AB41/4+180,AB41/4-180)</f>
        <v>-119.941247341045</v>
      </c>
      <c r="AD41" s="0" t="n">
        <f aca="false">DEGREES(ACOS(SIN(RADIANS($B$3))*SIN(RADIANS(T41))+COS(RADIANS($B$3))*COS(RADIANS(T41))*COS(RADIANS(AC41))))</f>
        <v>120.611473669767</v>
      </c>
      <c r="AE41" s="0" t="n">
        <f aca="false">90-AD41</f>
        <v>-30.6114736697667</v>
      </c>
      <c r="AF41" s="0" t="n">
        <f aca="false">IF(AE41&gt;85,0,IF(AE41&gt;5,58.1/TAN(RADIANS(AE41))-0.07/POWER(TAN(RADIANS(AE41)),3)+0.000086/POWER(TAN(RADIANS(AE41)),5),IF(AE41&gt;-0.575,1735+AE41*(-518.2+AE41*(103.4+AE41*(-12.79+AE41*0.711))),-20.772/TAN(RADIANS(AE41)))))/3600</f>
        <v>0.00975207956187013</v>
      </c>
      <c r="AG41" s="0" t="n">
        <f aca="false">AE41+AF41</f>
        <v>-30.6017215902048</v>
      </c>
      <c r="AH41" s="0" t="n">
        <f aca="false">IF(AC41&gt;0,MOD(DEGREES(ACOS(((SIN(RADIANS($B$3))*COS(RADIANS(AD41)))-SIN(RADIANS(T41)))/(COS(RADIANS($B$3))*SIN(RADIANS(AD41)))))+180,360),MOD(540-DEGREES(ACOS(((SIN(RADIANS($B$3))*COS(RADIANS(AD41)))-SIN(RADIANS(T41)))/(COS(RADIANS($B$3))*SIN(RADIANS(AD41))))),360))</f>
        <v>71.2315207275241</v>
      </c>
    </row>
    <row r="42" customFormat="false" ht="15" hidden="false" customHeight="false" outlineLevel="0" collapsed="false">
      <c r="D42" s="6" t="n">
        <f aca="false">$B$7</f>
        <v>44886</v>
      </c>
      <c r="E42" s="7" t="n">
        <f aca="false">E41+0.1/24</f>
        <v>0.170833333333333</v>
      </c>
      <c r="F42" s="8" t="n">
        <f aca="false">D42+2415018.5+E42-$B$5/24</f>
        <v>2459904.62916667</v>
      </c>
      <c r="G42" s="9" t="n">
        <f aca="false">(F42-2451545)/36525</f>
        <v>0.228874172940914</v>
      </c>
      <c r="I42" s="0" t="n">
        <f aca="false">MOD(280.46646+G42*(36000.76983+G42*0.0003032),360)</f>
        <v>240.112895960101</v>
      </c>
      <c r="J42" s="0" t="n">
        <f aca="false">357.52911+G42*(35999.05029-0.0001537*G42)</f>
        <v>8596.78196373079</v>
      </c>
      <c r="K42" s="0" t="n">
        <f aca="false">0.016708634-G42*(0.000042037+0.0000001267*G42)</f>
        <v>0.0166990061794169</v>
      </c>
      <c r="L42" s="0" t="n">
        <f aca="false">SIN(RADIANS(J42))*(1.914602-G42*(0.004817+0.000014*G42))+SIN(RADIANS(2*J42))*(0.019993-0.000101*G42)+SIN(RADIANS(3*J42))*0.000289</f>
        <v>-1.33047285206534</v>
      </c>
      <c r="M42" s="0" t="n">
        <f aca="false">I42+L42</f>
        <v>238.782423108036</v>
      </c>
      <c r="N42" s="0" t="n">
        <f aca="false">J42+L42</f>
        <v>8595.45149087873</v>
      </c>
      <c r="O42" s="0" t="n">
        <f aca="false">(1.000001018*(1-K42*K42))/(1+K42*COS(RADIANS(N42)))</f>
        <v>0.987964728721508</v>
      </c>
      <c r="P42" s="0" t="n">
        <f aca="false">M42-0.00569-0.00478*SIN(RADIANS(125.04-1934.136*G42))</f>
        <v>238.773512024102</v>
      </c>
      <c r="Q42" s="0" t="n">
        <f aca="false">23+(26+((21.448-G42*(46.815+G42*(0.00059-G42*0.001813))))/60)/60</f>
        <v>23.4363147906733</v>
      </c>
      <c r="R42" s="0" t="n">
        <f aca="false">Q42+0.00256*COS(RADIANS(125.04-1934.136*G42))</f>
        <v>23.438206253665</v>
      </c>
      <c r="S42" s="0" t="n">
        <f aca="false">DEGREES(ATAN2(COS(RADIANS(P42)),COS(RADIANS(R42))*SIN(RADIANS(P42))))</f>
        <v>-123.455704092964</v>
      </c>
      <c r="T42" s="0" t="n">
        <f aca="false">DEGREES(ASIN(SIN(RADIANS(R42))*SIN(RADIANS(P42))))</f>
        <v>-19.8850510408926</v>
      </c>
      <c r="U42" s="0" t="n">
        <f aca="false">TAN(RADIANS(R42/2))*TAN(RADIANS(R42/2))</f>
        <v>0.04303043246083</v>
      </c>
      <c r="V42" s="0" t="n">
        <f aca="false">4*DEGREES(U42*SIN(2*RADIANS(I42))-2*K42*SIN(RADIANS(J42))+4*K42*U42*SIN(RADIANS(J42))*COS(2*RADIANS(I42))-0.5*U42*U42*SIN(4*RADIANS(I42))-1.25*K42*K42*SIN(2*RADIANS(J42)))</f>
        <v>14.2539670903546</v>
      </c>
      <c r="W42" s="0" t="n">
        <f aca="false">DEGREES(ACOS(COS(RADIANS(90.833))/(COS(RADIANS($B$3))*COS(RADIANS(T42)))-TAN(RADIANS($B$3))*TAN(RADIANS(T42))))</f>
        <v>43.8383246762117</v>
      </c>
      <c r="X42" s="7" t="n">
        <f aca="false">(720-4*$B$4-V42+$B$5*60)/1440</f>
        <v>0.49983752285392</v>
      </c>
      <c r="Y42" s="7" t="n">
        <f aca="false">X42-W42*4/1440</f>
        <v>0.378064398753332</v>
      </c>
      <c r="Z42" s="7" t="n">
        <f aca="false">X42+W42*4/1440</f>
        <v>0.621610646954509</v>
      </c>
      <c r="AA42" s="10" t="n">
        <f aca="false">8*W42</f>
        <v>350.706597409694</v>
      </c>
      <c r="AB42" s="0" t="n">
        <f aca="false">MOD(E42*1440+V42+4*$B$4-60*$B$5,1440)</f>
        <v>246.233967090355</v>
      </c>
      <c r="AC42" s="0" t="n">
        <f aca="false">IF(AB42/4&lt;0,AB42/4+180,AB42/4-180)</f>
        <v>-118.441508227411</v>
      </c>
      <c r="AD42" s="0" t="n">
        <f aca="false">DEGREES(ACOS(SIN(RADIANS($B$3))*SIN(RADIANS(T42))+COS(RADIANS($B$3))*COS(RADIANS(T42))*COS(RADIANS(AC42))))</f>
        <v>119.997615358518</v>
      </c>
      <c r="AE42" s="0" t="n">
        <f aca="false">90-AD42</f>
        <v>-29.9976153585182</v>
      </c>
      <c r="AF42" s="0" t="n">
        <f aca="false">IF(AE42&gt;85,0,IF(AE42&gt;5,58.1/TAN(RADIANS(AE42))-0.07/POWER(TAN(RADIANS(AE42)),3)+0.000086/POWER(TAN(RADIANS(AE42)),5),IF(AE42&gt;-0.575,1735+AE42*(-518.2+AE42*(103.4+AE42*(-12.79+AE42*0.711))),-20.772/TAN(RADIANS(AE42)))))/3600</f>
        <v>0.00999489381495476</v>
      </c>
      <c r="AG42" s="0" t="n">
        <f aca="false">AE42+AF42</f>
        <v>-29.9876204647033</v>
      </c>
      <c r="AH42" s="0" t="n">
        <f aca="false">IF(AC42&gt;0,MOD(DEGREES(ACOS(((SIN(RADIANS($B$3))*COS(RADIANS(AD42)))-SIN(RADIANS(T42)))/(COS(RADIANS($B$3))*SIN(RADIANS(AD42)))))+180,360),MOD(540-DEGREES(ACOS(((SIN(RADIANS($B$3))*COS(RADIANS(AD42)))-SIN(RADIANS(T42)))/(COS(RADIANS($B$3))*SIN(RADIANS(AD42))))),360))</f>
        <v>72.702221461356</v>
      </c>
    </row>
    <row r="43" customFormat="false" ht="15" hidden="false" customHeight="false" outlineLevel="0" collapsed="false">
      <c r="D43" s="6" t="n">
        <f aca="false">$B$7</f>
        <v>44886</v>
      </c>
      <c r="E43" s="7" t="n">
        <f aca="false">E42+0.1/24</f>
        <v>0.175</v>
      </c>
      <c r="F43" s="8" t="n">
        <f aca="false">D43+2415018.5+E43-$B$5/24</f>
        <v>2459904.63333333</v>
      </c>
      <c r="G43" s="9" t="n">
        <f aca="false">(F43-2451545)/36525</f>
        <v>0.228874287018023</v>
      </c>
      <c r="I43" s="0" t="n">
        <f aca="false">MOD(280.46646+G43*(36000.76983+G43*0.0003032),360)</f>
        <v>240.117002823874</v>
      </c>
      <c r="J43" s="0" t="n">
        <f aca="false">357.52911+G43*(35999.05029-0.0001537*G43)</f>
        <v>8596.78607039838</v>
      </c>
      <c r="K43" s="0" t="n">
        <f aca="false">0.016708634-G43*(0.000042037+0.0000001267*G43)</f>
        <v>0.0166990061746149</v>
      </c>
      <c r="L43" s="0" t="n">
        <f aca="false">SIN(RADIANS(J43))*(1.914602-G43*(0.004817+0.000014*G43))+SIN(RADIANS(2*J43))*(0.019993-0.000101*G43)+SIN(RADIANS(3*J43))*0.000289</f>
        <v>-1.33037276148152</v>
      </c>
      <c r="M43" s="0" t="n">
        <f aca="false">I43+L43</f>
        <v>238.786630062392</v>
      </c>
      <c r="N43" s="0" t="n">
        <f aca="false">J43+L43</f>
        <v>8595.4556976369</v>
      </c>
      <c r="O43" s="0" t="n">
        <f aca="false">(1.000001018*(1-K43*K43))/(1+K43*COS(RADIANS(N43)))</f>
        <v>0.987963888997877</v>
      </c>
      <c r="P43" s="0" t="n">
        <f aca="false">M43-0.00569-0.00478*SIN(RADIANS(125.04-1934.136*G43))</f>
        <v>238.777718992059</v>
      </c>
      <c r="Q43" s="0" t="n">
        <f aca="false">23+(26+((21.448-G43*(46.815+G43*(0.00059-G43*0.001813))))/60)/60</f>
        <v>23.4363147891899</v>
      </c>
      <c r="R43" s="0" t="n">
        <f aca="false">Q43+0.00256*COS(RADIANS(125.04-1934.136*G43))</f>
        <v>23.4382062588247</v>
      </c>
      <c r="S43" s="0" t="n">
        <f aca="false">DEGREES(ATAN2(COS(RADIANS(P43)),COS(RADIANS(R43))*SIN(RADIANS(P43))))</f>
        <v>-123.451339247516</v>
      </c>
      <c r="T43" s="0" t="n">
        <f aca="false">DEGREES(ASIN(SIN(RADIANS(R43))*SIN(RADIANS(P43))))</f>
        <v>-19.8859735036958</v>
      </c>
      <c r="U43" s="0" t="n">
        <f aca="false">TAN(RADIANS(R43/2))*TAN(RADIANS(R43/2))</f>
        <v>0.0430304324803144</v>
      </c>
      <c r="V43" s="0" t="n">
        <f aca="false">4*DEGREES(U43*SIN(2*RADIANS(I43))-2*K43*SIN(RADIANS(J43))+4*K43*U43*SIN(RADIANS(J43))*COS(2*RADIANS(I43))-0.5*U43*U43*SIN(4*RADIANS(I43))-1.25*K43*K43*SIN(2*RADIANS(J43)))</f>
        <v>14.2529233117888</v>
      </c>
      <c r="W43" s="0" t="n">
        <f aca="false">DEGREES(ACOS(COS(RADIANS(90.833))/(COS(RADIANS($B$3))*COS(RADIANS(T43)))-TAN(RADIANS($B$3))*TAN(RADIANS(T43))))</f>
        <v>43.835189112846</v>
      </c>
      <c r="X43" s="7" t="n">
        <f aca="false">(720-4*$B$4-V43+$B$5*60)/1440</f>
        <v>0.499838247700147</v>
      </c>
      <c r="Y43" s="7" t="n">
        <f aca="false">X43-W43*4/1440</f>
        <v>0.378073833497797</v>
      </c>
      <c r="Z43" s="7" t="n">
        <f aca="false">X43+W43*4/1440</f>
        <v>0.621602661902497</v>
      </c>
      <c r="AA43" s="10" t="n">
        <f aca="false">8*W43</f>
        <v>350.681512902768</v>
      </c>
      <c r="AB43" s="0" t="n">
        <f aca="false">MOD(E43*1440+V43+4*$B$4-60*$B$5,1440)</f>
        <v>252.232923311789</v>
      </c>
      <c r="AC43" s="0" t="n">
        <f aca="false">IF(AB43/4&lt;0,AB43/4+180,AB43/4-180)</f>
        <v>-116.941769172053</v>
      </c>
      <c r="AD43" s="0" t="n">
        <f aca="false">DEGREES(ACOS(SIN(RADIANS($B$3))*SIN(RADIANS(T43))+COS(RADIANS($B$3))*COS(RADIANS(T43))*COS(RADIANS(AC43))))</f>
        <v>119.378840977569</v>
      </c>
      <c r="AE43" s="0" t="n">
        <f aca="false">90-AD43</f>
        <v>-29.3788409775686</v>
      </c>
      <c r="AF43" s="0" t="n">
        <f aca="false">IF(AE43&gt;85,0,IF(AE43&gt;5,58.1/TAN(RADIANS(AE43))-0.07/POWER(TAN(RADIANS(AE43)),3)+0.000086/POWER(TAN(RADIANS(AE43)),5),IF(AE43&gt;-0.575,1735+AE43*(-518.2+AE43*(103.4+AE43*(-12.79+AE43*0.711))),-20.772/TAN(RADIANS(AE43)))))/3600</f>
        <v>0.0102489482440952</v>
      </c>
      <c r="AG43" s="0" t="n">
        <f aca="false">AE43+AF43</f>
        <v>-29.3685920293246</v>
      </c>
      <c r="AH43" s="0" t="n">
        <f aca="false">IF(AC43&gt;0,MOD(DEGREES(ACOS(((SIN(RADIANS($B$3))*COS(RADIANS(AD43)))-SIN(RADIANS(T43)))/(COS(RADIANS($B$3))*SIN(RADIANS(AD43)))))+180,360),MOD(540-DEGREES(ACOS(((SIN(RADIANS($B$3))*COS(RADIANS(AD43)))-SIN(RADIANS(T43)))/(COS(RADIANS($B$3))*SIN(RADIANS(AD43))))),360))</f>
        <v>74.1610573569694</v>
      </c>
    </row>
    <row r="44" customFormat="false" ht="15" hidden="false" customHeight="false" outlineLevel="0" collapsed="false">
      <c r="D44" s="6" t="n">
        <f aca="false">$B$7</f>
        <v>44886</v>
      </c>
      <c r="E44" s="7" t="n">
        <f aca="false">E43+0.1/24</f>
        <v>0.179166666666667</v>
      </c>
      <c r="F44" s="8" t="n">
        <f aca="false">D44+2415018.5+E44-$B$5/24</f>
        <v>2459904.6375</v>
      </c>
      <c r="G44" s="9" t="n">
        <f aca="false">(F44-2451545)/36525</f>
        <v>0.228874401095145</v>
      </c>
      <c r="I44" s="0" t="n">
        <f aca="false">MOD(280.46646+G44*(36000.76983+G44*0.0003032),360)</f>
        <v>240.121109688103</v>
      </c>
      <c r="J44" s="0" t="n">
        <f aca="false">357.52911+G44*(35999.05029-0.0001537*G44)</f>
        <v>8596.79017706643</v>
      </c>
      <c r="K44" s="0" t="n">
        <f aca="false">0.016708634-G44*(0.000042037+0.0000001267*G44)</f>
        <v>0.0166990061698128</v>
      </c>
      <c r="L44" s="0" t="n">
        <f aca="false">SIN(RADIANS(J44))*(1.914602-G44*(0.004817+0.000014*G44))+SIN(RADIANS(2*J44))*(0.019993-0.000101*G44)+SIN(RADIANS(3*J44))*0.000289</f>
        <v>-1.33027266373582</v>
      </c>
      <c r="M44" s="0" t="n">
        <f aca="false">I44+L44</f>
        <v>238.790837024368</v>
      </c>
      <c r="N44" s="0" t="n">
        <f aca="false">J44+L44</f>
        <v>8595.45990440269</v>
      </c>
      <c r="O44" s="0" t="n">
        <f aca="false">(1.000001018*(1-K44*K44))/(1+K44*COS(RADIANS(N44)))</f>
        <v>0.987963049336793</v>
      </c>
      <c r="P44" s="0" t="n">
        <f aca="false">M44-0.00569-0.00478*SIN(RADIANS(125.04-1934.136*G44))</f>
        <v>238.781925967634</v>
      </c>
      <c r="Q44" s="0" t="n">
        <f aca="false">23+(26+((21.448-G44*(46.815+G44*(0.00059-G44*0.001813))))/60)/60</f>
        <v>23.4363147877064</v>
      </c>
      <c r="R44" s="0" t="n">
        <f aca="false">Q44+0.00256*COS(RADIANS(125.04-1934.136*G44))</f>
        <v>23.4382062639844</v>
      </c>
      <c r="S44" s="0" t="n">
        <f aca="false">DEGREES(ATAN2(COS(RADIANS(P44)),COS(RADIANS(R44))*SIN(RADIANS(P44))))</f>
        <v>-123.446974343327</v>
      </c>
      <c r="T44" s="0" t="n">
        <f aca="false">DEGREES(ASIN(SIN(RADIANS(R44))*SIN(RADIANS(P44))))</f>
        <v>-19.8868958618069</v>
      </c>
      <c r="U44" s="0" t="n">
        <f aca="false">TAN(RADIANS(R44/2))*TAN(RADIANS(R44/2))</f>
        <v>0.0430304324997987</v>
      </c>
      <c r="V44" s="0" t="n">
        <f aca="false">4*DEGREES(U44*SIN(2*RADIANS(I44))-2*K44*SIN(RADIANS(J44))+4*K44*U44*SIN(RADIANS(J44))*COS(2*RADIANS(I44))-0.5*U44*U44*SIN(4*RADIANS(I44))-1.25*K44*K44*SIN(2*RADIANS(J44)))</f>
        <v>14.2518792999055</v>
      </c>
      <c r="W44" s="0" t="n">
        <f aca="false">DEGREES(ACOS(COS(RADIANS(90.833))/(COS(RADIANS($B$3))*COS(RADIANS(T44)))-TAN(RADIANS($B$3))*TAN(RADIANS(T44))))</f>
        <v>43.8320536908933</v>
      </c>
      <c r="X44" s="7" t="n">
        <f aca="false">(720-4*$B$4-V44+$B$5*60)/1440</f>
        <v>0.499838972708399</v>
      </c>
      <c r="Y44" s="7" t="n">
        <f aca="false">X44-W44*4/1440</f>
        <v>0.378083268011473</v>
      </c>
      <c r="Z44" s="7" t="n">
        <f aca="false">X44+W44*4/1440</f>
        <v>0.621594677405325</v>
      </c>
      <c r="AA44" s="10" t="n">
        <f aca="false">8*W44</f>
        <v>350.656429527147</v>
      </c>
      <c r="AB44" s="0" t="n">
        <f aca="false">MOD(E44*1440+V44+4*$B$4-60*$B$5,1440)</f>
        <v>258.231879299906</v>
      </c>
      <c r="AC44" s="0" t="n">
        <f aca="false">IF(AB44/4&lt;0,AB44/4+180,AB44/4-180)</f>
        <v>-115.442030175024</v>
      </c>
      <c r="AD44" s="0" t="n">
        <f aca="false">DEGREES(ACOS(SIN(RADIANS($B$3))*SIN(RADIANS(T44))+COS(RADIANS($B$3))*COS(RADIANS(T44))*COS(RADIANS(AC44))))</f>
        <v>118.755589779211</v>
      </c>
      <c r="AE44" s="0" t="n">
        <f aca="false">90-AD44</f>
        <v>-28.7555897792114</v>
      </c>
      <c r="AF44" s="0" t="n">
        <f aca="false">IF(AE44&gt;85,0,IF(AE44&gt;5,58.1/TAN(RADIANS(AE44))-0.07/POWER(TAN(RADIANS(AE44)),3)+0.000086/POWER(TAN(RADIANS(AE44)),5),IF(AE44&gt;-0.575,1735+AE44*(-518.2+AE44*(103.4+AE44*(-12.79+AE44*0.711))),-20.772/TAN(RADIANS(AE44)))))/3600</f>
        <v>0.0105148884402898</v>
      </c>
      <c r="AG44" s="0" t="n">
        <f aca="false">AE44+AF44</f>
        <v>-28.7450748907711</v>
      </c>
      <c r="AH44" s="0" t="n">
        <f aca="false">IF(AC44&gt;0,MOD(DEGREES(ACOS(((SIN(RADIANS($B$3))*COS(RADIANS(AD44)))-SIN(RADIANS(T44)))/(COS(RADIANS($B$3))*SIN(RADIANS(AD44)))))+180,360),MOD(540-DEGREES(ACOS(((SIN(RADIANS($B$3))*COS(RADIANS(AD44)))-SIN(RADIANS(T44)))/(COS(RADIANS($B$3))*SIN(RADIANS(AD44))))),360))</f>
        <v>75.6084955257738</v>
      </c>
    </row>
    <row r="45" customFormat="false" ht="15" hidden="false" customHeight="false" outlineLevel="0" collapsed="false">
      <c r="D45" s="6" t="n">
        <f aca="false">$B$7</f>
        <v>44886</v>
      </c>
      <c r="E45" s="7" t="n">
        <f aca="false">E44+0.1/24</f>
        <v>0.183333333333334</v>
      </c>
      <c r="F45" s="8" t="n">
        <f aca="false">D45+2415018.5+E45-$B$5/24</f>
        <v>2459904.64166667</v>
      </c>
      <c r="G45" s="9" t="n">
        <f aca="false">(F45-2451545)/36525</f>
        <v>0.228874515172255</v>
      </c>
      <c r="I45" s="0" t="n">
        <f aca="false">MOD(280.46646+G45*(36000.76983+G45*0.0003032),360)</f>
        <v>240.125216551874</v>
      </c>
      <c r="J45" s="0" t="n">
        <f aca="false">357.52911+G45*(35999.05029-0.0001537*G45)</f>
        <v>8596.79428373402</v>
      </c>
      <c r="K45" s="0" t="n">
        <f aca="false">0.016708634-G45*(0.000042037+0.0000001267*G45)</f>
        <v>0.0166990061650107</v>
      </c>
      <c r="L45" s="0" t="n">
        <f aca="false">SIN(RADIANS(J45))*(1.914602-G45*(0.004817+0.000014*G45))+SIN(RADIANS(2*J45))*(0.019993-0.000101*G45)+SIN(RADIANS(3*J45))*0.000289</f>
        <v>-1.33017255885102</v>
      </c>
      <c r="M45" s="0" t="n">
        <f aca="false">I45+L45</f>
        <v>238.795043993023</v>
      </c>
      <c r="N45" s="0" t="n">
        <f aca="false">J45+L45</f>
        <v>8595.46411117516</v>
      </c>
      <c r="O45" s="0" t="n">
        <f aca="false">(1.000001018*(1-K45*K45))/(1+K45*COS(RADIANS(N45)))</f>
        <v>0.987962209738449</v>
      </c>
      <c r="P45" s="0" t="n">
        <f aca="false">M45-0.00569-0.00478*SIN(RADIANS(125.04-1934.136*G45))</f>
        <v>238.786132949891</v>
      </c>
      <c r="Q45" s="0" t="n">
        <f aca="false">23+(26+((21.448-G45*(46.815+G45*(0.00059-G45*0.001813))))/60)/60</f>
        <v>23.4363147862229</v>
      </c>
      <c r="R45" s="0" t="n">
        <f aca="false">Q45+0.00256*COS(RADIANS(125.04-1934.136*G45))</f>
        <v>23.438206269144</v>
      </c>
      <c r="S45" s="0" t="n">
        <f aca="false">DEGREES(ATAN2(COS(RADIANS(P45)),COS(RADIANS(R45))*SIN(RADIANS(P45))))</f>
        <v>-123.442609381373</v>
      </c>
      <c r="T45" s="0" t="n">
        <f aca="false">DEGREES(ASIN(SIN(RADIANS(R45))*SIN(RADIANS(P45))))</f>
        <v>-19.8878181150131</v>
      </c>
      <c r="U45" s="0" t="n">
        <f aca="false">TAN(RADIANS(R45/2))*TAN(RADIANS(R45/2))</f>
        <v>0.0430304325192829</v>
      </c>
      <c r="V45" s="0" t="n">
        <f aca="false">4*DEGREES(U45*SIN(2*RADIANS(I45))-2*K45*SIN(RADIANS(J45))+4*K45*U45*SIN(RADIANS(J45))*COS(2*RADIANS(I45))-0.5*U45*U45*SIN(4*RADIANS(I45))-1.25*K45*K45*SIN(2*RADIANS(J45)))</f>
        <v>14.2508350549505</v>
      </c>
      <c r="W45" s="0" t="n">
        <f aca="false">DEGREES(ACOS(COS(RADIANS(90.833))/(COS(RADIANS($B$3))*COS(RADIANS(T45)))-TAN(RADIANS($B$3))*TAN(RADIANS(T45))))</f>
        <v>43.8289184111016</v>
      </c>
      <c r="X45" s="7" t="n">
        <f aca="false">(720-4*$B$4-V45+$B$5*60)/1440</f>
        <v>0.499839697878507</v>
      </c>
      <c r="Y45" s="7" t="n">
        <f aca="false">X45-W45*4/1440</f>
        <v>0.378092702292113</v>
      </c>
      <c r="Z45" s="7" t="n">
        <f aca="false">X45+W45*4/1440</f>
        <v>0.6215866934649</v>
      </c>
      <c r="AA45" s="10" t="n">
        <f aca="false">8*W45</f>
        <v>350.631347288813</v>
      </c>
      <c r="AB45" s="0" t="n">
        <f aca="false">MOD(E45*1440+V45+4*$B$4-60*$B$5,1440)</f>
        <v>264.230835054951</v>
      </c>
      <c r="AC45" s="0" t="n">
        <f aca="false">IF(AB45/4&lt;0,AB45/4+180,AB45/4-180)</f>
        <v>-113.942291236262</v>
      </c>
      <c r="AD45" s="0" t="n">
        <f aca="false">DEGREES(ACOS(SIN(RADIANS($B$3))*SIN(RADIANS(T45))+COS(RADIANS($B$3))*COS(RADIANS(T45))*COS(RADIANS(AC45))))</f>
        <v>118.128293043739</v>
      </c>
      <c r="AE45" s="0" t="n">
        <f aca="false">90-AD45</f>
        <v>-28.1282930437386</v>
      </c>
      <c r="AF45" s="0" t="n">
        <f aca="false">IF(AE45&gt;85,0,IF(AE45&gt;5,58.1/TAN(RADIANS(AE45))-0.07/POWER(TAN(RADIANS(AE45)),3)+0.000086/POWER(TAN(RADIANS(AE45)),5),IF(AE45&gt;-0.575,1735+AE45*(-518.2+AE45*(103.4+AE45*(-12.79+AE45*0.711))),-20.772/TAN(RADIANS(AE45)))))/3600</f>
        <v>0.010793418522951</v>
      </c>
      <c r="AG45" s="0" t="n">
        <f aca="false">AE45+AF45</f>
        <v>-28.1174996252156</v>
      </c>
      <c r="AH45" s="0" t="n">
        <f aca="false">IF(AC45&gt;0,MOD(DEGREES(ACOS(((SIN(RADIANS($B$3))*COS(RADIANS(AD45)))-SIN(RADIANS(T45)))/(COS(RADIANS($B$3))*SIN(RADIANS(AD45)))))+180,360),MOD(540-DEGREES(ACOS(((SIN(RADIANS($B$3))*COS(RADIANS(AD45)))-SIN(RADIANS(T45)))/(COS(RADIANS($B$3))*SIN(RADIANS(AD45))))),360))</f>
        <v>77.0450049294916</v>
      </c>
    </row>
    <row r="46" customFormat="false" ht="15" hidden="false" customHeight="false" outlineLevel="0" collapsed="false">
      <c r="D46" s="6" t="n">
        <f aca="false">$B$7</f>
        <v>44886</v>
      </c>
      <c r="E46" s="7" t="n">
        <f aca="false">E45+0.1/24</f>
        <v>0.1875</v>
      </c>
      <c r="F46" s="8" t="n">
        <f aca="false">D46+2415018.5+E46-$B$5/24</f>
        <v>2459904.64583333</v>
      </c>
      <c r="G46" s="9" t="n">
        <f aca="false">(F46-2451545)/36525</f>
        <v>0.228874629249377</v>
      </c>
      <c r="I46" s="0" t="n">
        <f aca="false">MOD(280.46646+G46*(36000.76983+G46*0.0003032),360)</f>
        <v>240.129323416106</v>
      </c>
      <c r="J46" s="0" t="n">
        <f aca="false">357.52911+G46*(35999.05029-0.0001537*G46)</f>
        <v>8596.79839040206</v>
      </c>
      <c r="K46" s="0" t="n">
        <f aca="false">0.016708634-G46*(0.000042037+0.0000001267*G46)</f>
        <v>0.0166990061602086</v>
      </c>
      <c r="L46" s="0" t="n">
        <f aca="false">SIN(RADIANS(J46))*(1.914602-G46*(0.004817+0.000014*G46))+SIN(RADIANS(2*J46))*(0.019993-0.000101*G46)+SIN(RADIANS(3*J46))*0.000289</f>
        <v>-1.33007244680528</v>
      </c>
      <c r="M46" s="0" t="n">
        <f aca="false">I46+L46</f>
        <v>238.799250969301</v>
      </c>
      <c r="N46" s="0" t="n">
        <f aca="false">J46+L46</f>
        <v>8595.46831795526</v>
      </c>
      <c r="O46" s="0" t="n">
        <f aca="false">(1.000001018*(1-K46*K46))/(1+K46*COS(RADIANS(N46)))</f>
        <v>0.987961370202661</v>
      </c>
      <c r="P46" s="0" t="n">
        <f aca="false">M46-0.00569-0.00478*SIN(RADIANS(125.04-1934.136*G46))</f>
        <v>238.790339939768</v>
      </c>
      <c r="Q46" s="0" t="n">
        <f aca="false">23+(26+((21.448-G46*(46.815+G46*(0.00059-G46*0.001813))))/60)/60</f>
        <v>23.4363147847394</v>
      </c>
      <c r="R46" s="0" t="n">
        <f aca="false">Q46+0.00256*COS(RADIANS(125.04-1934.136*G46))</f>
        <v>23.4382062743036</v>
      </c>
      <c r="S46" s="0" t="n">
        <f aca="false">DEGREES(ATAN2(COS(RADIANS(P46)),COS(RADIANS(R46))*SIN(RADIANS(P46))))</f>
        <v>-123.438244360681</v>
      </c>
      <c r="T46" s="0" t="n">
        <f aca="false">DEGREES(ASIN(SIN(RADIANS(R46))*SIN(RADIANS(P46))))</f>
        <v>-19.8887402635136</v>
      </c>
      <c r="U46" s="0" t="n">
        <f aca="false">TAN(RADIANS(R46/2))*TAN(RADIANS(R46/2))</f>
        <v>0.043030432538767</v>
      </c>
      <c r="V46" s="0" t="n">
        <f aca="false">4*DEGREES(U46*SIN(2*RADIANS(I46))-2*K46*SIN(RADIANS(J46))+4*K46*U46*SIN(RADIANS(J46))*COS(2*RADIANS(I46))-0.5*U46*U46*SIN(4*RADIANS(I46))-1.25*K46*K46*SIN(2*RADIANS(J46)))</f>
        <v>14.2497905767038</v>
      </c>
      <c r="W46" s="0" t="n">
        <f aca="false">DEGREES(ACOS(COS(RADIANS(90.833))/(COS(RADIANS($B$3))*COS(RADIANS(T46)))-TAN(RADIANS($B$3))*TAN(RADIANS(T46))))</f>
        <v>43.825783272819</v>
      </c>
      <c r="X46" s="7" t="n">
        <f aca="false">(720-4*$B$4-V46+$B$5*60)/1440</f>
        <v>0.499840423210622</v>
      </c>
      <c r="Y46" s="7" t="n">
        <f aca="false">X46-W46*4/1440</f>
        <v>0.378102136341681</v>
      </c>
      <c r="Z46" s="7" t="n">
        <f aca="false">X46+W46*4/1440</f>
        <v>0.621578710079564</v>
      </c>
      <c r="AA46" s="10" t="n">
        <f aca="false">8*W46</f>
        <v>350.606266182552</v>
      </c>
      <c r="AB46" s="0" t="n">
        <f aca="false">MOD(E46*1440+V46+4*$B$4-60*$B$5,1440)</f>
        <v>270.229790576704</v>
      </c>
      <c r="AC46" s="0" t="n">
        <f aca="false">IF(AB46/4&lt;0,AB46/4+180,AB46/4-180)</f>
        <v>-112.442552355824</v>
      </c>
      <c r="AD46" s="0" t="n">
        <f aca="false">DEGREES(ACOS(SIN(RADIANS($B$3))*SIN(RADIANS(T46))+COS(RADIANS($B$3))*COS(RADIANS(T46))*COS(RADIANS(AC46))))</f>
        <v>117.497374283053</v>
      </c>
      <c r="AE46" s="0" t="n">
        <f aca="false">90-AD46</f>
        <v>-27.4973742830533</v>
      </c>
      <c r="AF46" s="0" t="n">
        <f aca="false">IF(AE46&gt;85,0,IF(AE46&gt;5,58.1/TAN(RADIANS(AE46))-0.07/POWER(TAN(RADIANS(AE46)),3)+0.000086/POWER(TAN(RADIANS(AE46)),5),IF(AE46&gt;-0.575,1735+AE46*(-518.2+AE46*(103.4+AE46*(-12.79+AE46*0.711))),-20.772/TAN(RADIANS(AE46)))))/3600</f>
        <v>0.0110853071765622</v>
      </c>
      <c r="AG46" s="0" t="n">
        <f aca="false">AE46+AF46</f>
        <v>-27.4862889758768</v>
      </c>
      <c r="AH46" s="0" t="n">
        <f aca="false">IF(AC46&gt;0,MOD(DEGREES(ACOS(((SIN(RADIANS($B$3))*COS(RADIANS(AD46)))-SIN(RADIANS(T46)))/(COS(RADIANS($B$3))*SIN(RADIANS(AD46)))))+180,360),MOD(540-DEGREES(ACOS(((SIN(RADIANS($B$3))*COS(RADIANS(AD46)))-SIN(RADIANS(T46)))/(COS(RADIANS($B$3))*SIN(RADIANS(AD46))))),360))</f>
        <v>78.4710550984256</v>
      </c>
    </row>
    <row r="47" customFormat="false" ht="15" hidden="false" customHeight="false" outlineLevel="0" collapsed="false">
      <c r="D47" s="6" t="n">
        <f aca="false">$B$7</f>
        <v>44886</v>
      </c>
      <c r="E47" s="7" t="n">
        <f aca="false">E46+0.1/24</f>
        <v>0.191666666666667</v>
      </c>
      <c r="F47" s="8" t="n">
        <f aca="false">D47+2415018.5+E47-$B$5/24</f>
        <v>2459904.65</v>
      </c>
      <c r="G47" s="9" t="n">
        <f aca="false">(F47-2451545)/36525</f>
        <v>0.228874743326499</v>
      </c>
      <c r="I47" s="0" t="n">
        <f aca="false">MOD(280.46646+G47*(36000.76983+G47*0.0003032),360)</f>
        <v>240.133430280337</v>
      </c>
      <c r="J47" s="0" t="n">
        <f aca="false">357.52911+G47*(35999.05029-0.0001537*G47)</f>
        <v>8596.80249707011</v>
      </c>
      <c r="K47" s="0" t="n">
        <f aca="false">0.016708634-G47*(0.000042037+0.0000001267*G47)</f>
        <v>0.0166990061554066</v>
      </c>
      <c r="L47" s="0" t="n">
        <f aca="false">SIN(RADIANS(J47))*(1.914602-G47*(0.004817+0.000014*G47))+SIN(RADIANS(2*J47))*(0.019993-0.000101*G47)+SIN(RADIANS(3*J47))*0.000289</f>
        <v>-1.3299723276104</v>
      </c>
      <c r="M47" s="0" t="n">
        <f aca="false">I47+L47</f>
        <v>238.803457952727</v>
      </c>
      <c r="N47" s="0" t="n">
        <f aca="false">J47+L47</f>
        <v>8595.4725247425</v>
      </c>
      <c r="O47" s="0" t="n">
        <f aca="false">(1.000001018*(1-K47*K47))/(1+K47*COS(RADIANS(N47)))</f>
        <v>0.987960530729529</v>
      </c>
      <c r="P47" s="0" t="n">
        <f aca="false">M47-0.00569-0.00478*SIN(RADIANS(125.04-1934.136*G47))</f>
        <v>238.794546936795</v>
      </c>
      <c r="Q47" s="0" t="n">
        <f aca="false">23+(26+((21.448-G47*(46.815+G47*(0.00059-G47*0.001813))))/60)/60</f>
        <v>23.4363147832559</v>
      </c>
      <c r="R47" s="0" t="n">
        <f aca="false">Q47+0.00256*COS(RADIANS(125.04-1934.136*G47))</f>
        <v>23.4382062794632</v>
      </c>
      <c r="S47" s="0" t="n">
        <f aca="false">DEGREES(ATAN2(COS(RADIANS(P47)),COS(RADIANS(R47))*SIN(RADIANS(P47))))</f>
        <v>-123.433879281742</v>
      </c>
      <c r="T47" s="0" t="n">
        <f aca="false">DEGREES(ASIN(SIN(RADIANS(R47))*SIN(RADIANS(P47))))</f>
        <v>-19.8896623071977</v>
      </c>
      <c r="U47" s="0" t="n">
        <f aca="false">TAN(RADIANS(R47/2))*TAN(RADIANS(R47/2))</f>
        <v>0.043030432558251</v>
      </c>
      <c r="V47" s="0" t="n">
        <f aca="false">4*DEGREES(U47*SIN(2*RADIANS(I47))-2*K47*SIN(RADIANS(J47))+4*K47*U47*SIN(RADIANS(J47))*COS(2*RADIANS(I47))-0.5*U47*U47*SIN(4*RADIANS(I47))-1.25*K47*K47*SIN(2*RADIANS(J47)))</f>
        <v>14.2487458652961</v>
      </c>
      <c r="W47" s="0" t="n">
        <f aca="false">DEGREES(ACOS(COS(RADIANS(90.833))/(COS(RADIANS($B$3))*COS(RADIANS(T47)))-TAN(RADIANS($B$3))*TAN(RADIANS(T47))))</f>
        <v>43.8226482764463</v>
      </c>
      <c r="X47" s="7" t="n">
        <f aca="false">(720-4*$B$4-V47+$B$5*60)/1440</f>
        <v>0.499841148704655</v>
      </c>
      <c r="Y47" s="7" t="n">
        <f aca="false">X47-W47*4/1440</f>
        <v>0.378111570158971</v>
      </c>
      <c r="Z47" s="7" t="n">
        <f aca="false">X47+W47*4/1440</f>
        <v>0.62157072725034</v>
      </c>
      <c r="AA47" s="10" t="n">
        <f aca="false">8*W47</f>
        <v>350.581186211571</v>
      </c>
      <c r="AB47" s="0" t="n">
        <f aca="false">MOD(E47*1440+V47+4*$B$4-60*$B$5,1440)</f>
        <v>276.228745865296</v>
      </c>
      <c r="AC47" s="0" t="n">
        <f aca="false">IF(AB47/4&lt;0,AB47/4+180,AB47/4-180)</f>
        <v>-110.942813533676</v>
      </c>
      <c r="AD47" s="0" t="n">
        <f aca="false">DEGREES(ACOS(SIN(RADIANS($B$3))*SIN(RADIANS(T47))+COS(RADIANS($B$3))*COS(RADIANS(T47))*COS(RADIANS(AC47))))</f>
        <v>116.863249465166</v>
      </c>
      <c r="AE47" s="0" t="n">
        <f aca="false">90-AD47</f>
        <v>-26.8632494651663</v>
      </c>
      <c r="AF47" s="0" t="n">
        <f aca="false">IF(AE47&gt;85,0,IF(AE47&gt;5,58.1/TAN(RADIANS(AE47))-0.07/POWER(TAN(RADIANS(AE47)),3)+0.000086/POWER(TAN(RADIANS(AE47)),5),IF(AE47&gt;-0.575,1735+AE47*(-518.2+AE47*(103.4+AE47*(-12.79+AE47*0.711))),-20.772/TAN(RADIANS(AE47)))))/3600</f>
        <v>0.0113913944703668</v>
      </c>
      <c r="AG47" s="0" t="n">
        <f aca="false">AE47+AF47</f>
        <v>-26.8518580706959</v>
      </c>
      <c r="AH47" s="0" t="n">
        <f aca="false">IF(AC47&gt;0,MOD(DEGREES(ACOS(((SIN(RADIANS($B$3))*COS(RADIANS(AD47)))-SIN(RADIANS(T47)))/(COS(RADIANS($B$3))*SIN(RADIANS(AD47)))))+180,360),MOD(540-DEGREES(ACOS(((SIN(RADIANS($B$3))*COS(RADIANS(AD47)))-SIN(RADIANS(T47)))/(COS(RADIANS($B$3))*SIN(RADIANS(AD47))))),360))</f>
        <v>79.8871149779258</v>
      </c>
    </row>
    <row r="48" customFormat="false" ht="15" hidden="false" customHeight="false" outlineLevel="0" collapsed="false">
      <c r="D48" s="6" t="n">
        <f aca="false">$B$7</f>
        <v>44886</v>
      </c>
      <c r="E48" s="7" t="n">
        <f aca="false">E47+0.1/24</f>
        <v>0.195833333333334</v>
      </c>
      <c r="F48" s="8" t="n">
        <f aca="false">D48+2415018.5+E48-$B$5/24</f>
        <v>2459904.65416667</v>
      </c>
      <c r="G48" s="9" t="n">
        <f aca="false">(F48-2451545)/36525</f>
        <v>0.228874857403608</v>
      </c>
      <c r="I48" s="0" t="n">
        <f aca="false">MOD(280.46646+G48*(36000.76983+G48*0.0003032),360)</f>
        <v>240.137537144108</v>
      </c>
      <c r="J48" s="0" t="n">
        <f aca="false">357.52911+G48*(35999.05029-0.0001537*G48)</f>
        <v>8596.8066037377</v>
      </c>
      <c r="K48" s="0" t="n">
        <f aca="false">0.016708634-G48*(0.000042037+0.0000001267*G48)</f>
        <v>0.0166990061506045</v>
      </c>
      <c r="L48" s="0" t="n">
        <f aca="false">SIN(RADIANS(J48))*(1.914602-G48*(0.004817+0.000014*G48))+SIN(RADIANS(2*J48))*(0.019993-0.000101*G48)+SIN(RADIANS(3*J48))*0.000289</f>
        <v>-1.32987220127792</v>
      </c>
      <c r="M48" s="0" t="n">
        <f aca="false">I48+L48</f>
        <v>238.80766494283</v>
      </c>
      <c r="N48" s="0" t="n">
        <f aca="false">J48+L48</f>
        <v>8595.47673153642</v>
      </c>
      <c r="O48" s="0" t="n">
        <f aca="false">(1.000001018*(1-K48*K48))/(1+K48*COS(RADIANS(N48)))</f>
        <v>0.98795969131915</v>
      </c>
      <c r="P48" s="0" t="n">
        <f aca="false">M48-0.00569-0.00478*SIN(RADIANS(125.04-1934.136*G48))</f>
        <v>238.798753940499</v>
      </c>
      <c r="Q48" s="0" t="n">
        <f aca="false">23+(26+((21.448-G48*(46.815+G48*(0.00059-G48*0.001813))))/60)/60</f>
        <v>23.4363147817725</v>
      </c>
      <c r="R48" s="0" t="n">
        <f aca="false">Q48+0.00256*COS(RADIANS(125.04-1934.136*G48))</f>
        <v>23.4382062846228</v>
      </c>
      <c r="S48" s="0" t="n">
        <f aca="false">DEGREES(ATAN2(COS(RADIANS(P48)),COS(RADIANS(R48))*SIN(RADIANS(P48))))</f>
        <v>-123.429514145049</v>
      </c>
      <c r="T48" s="0" t="n">
        <f aca="false">DEGREES(ASIN(SIN(RADIANS(R48))*SIN(RADIANS(P48))))</f>
        <v>-19.8905842459548</v>
      </c>
      <c r="U48" s="0" t="n">
        <f aca="false">TAN(RADIANS(R48/2))*TAN(RADIANS(R48/2))</f>
        <v>0.0430304325777348</v>
      </c>
      <c r="V48" s="0" t="n">
        <f aca="false">4*DEGREES(U48*SIN(2*RADIANS(I48))-2*K48*SIN(RADIANS(J48))+4*K48*U48*SIN(RADIANS(J48))*COS(2*RADIANS(I48))-0.5*U48*U48*SIN(4*RADIANS(I48))-1.25*K48*K48*SIN(2*RADIANS(J48)))</f>
        <v>14.247700920857</v>
      </c>
      <c r="W48" s="0" t="n">
        <f aca="false">DEGREES(ACOS(COS(RADIANS(90.833))/(COS(RADIANS($B$3))*COS(RADIANS(T48)))-TAN(RADIANS($B$3))*TAN(RADIANS(T48))))</f>
        <v>43.8195134223843</v>
      </c>
      <c r="X48" s="7" t="n">
        <f aca="false">(720-4*$B$4-V48+$B$5*60)/1440</f>
        <v>0.499841874360516</v>
      </c>
      <c r="Y48" s="7" t="n">
        <f aca="false">X48-W48*4/1440</f>
        <v>0.378121003742782</v>
      </c>
      <c r="Z48" s="7" t="n">
        <f aca="false">X48+W48*4/1440</f>
        <v>0.62156274497825</v>
      </c>
      <c r="AA48" s="10" t="n">
        <f aca="false">8*W48</f>
        <v>350.556107379074</v>
      </c>
      <c r="AB48" s="0" t="n">
        <f aca="false">MOD(E48*1440+V48+4*$B$4-60*$B$5,1440)</f>
        <v>282.227700920857</v>
      </c>
      <c r="AC48" s="0" t="n">
        <f aca="false">IF(AB48/4&lt;0,AB48/4+180,AB48/4-180)</f>
        <v>-109.443074769786</v>
      </c>
      <c r="AD48" s="0" t="n">
        <f aca="false">DEGREES(ACOS(SIN(RADIANS($B$3))*SIN(RADIANS(T48))+COS(RADIANS($B$3))*COS(RADIANS(T48))*COS(RADIANS(AC48))))</f>
        <v>116.226327258093</v>
      </c>
      <c r="AE48" s="0" t="n">
        <f aca="false">90-AD48</f>
        <v>-26.2263272580932</v>
      </c>
      <c r="AF48" s="0" t="n">
        <f aca="false">IF(AE48&gt;85,0,IF(AE48&gt;5,58.1/TAN(RADIANS(AE48))-0.07/POWER(TAN(RADIANS(AE48)),3)+0.000086/POWER(TAN(RADIANS(AE48)),5),IF(AE48&gt;-0.575,1735+AE48*(-518.2+AE48*(103.4+AE48*(-12.79+AE48*0.711))),-20.772/TAN(RADIANS(AE48)))))/3600</f>
        <v>0.011712599580086</v>
      </c>
      <c r="AG48" s="0" t="n">
        <f aca="false">AE48+AF48</f>
        <v>-26.2146146585131</v>
      </c>
      <c r="AH48" s="0" t="n">
        <f aca="false">IF(AC48&gt;0,MOD(DEGREES(ACOS(((SIN(RADIANS($B$3))*COS(RADIANS(AD48)))-SIN(RADIANS(T48)))/(COS(RADIANS($B$3))*SIN(RADIANS(AD48)))))+180,360),MOD(540-DEGREES(ACOS(((SIN(RADIANS($B$3))*COS(RADIANS(AD48)))-SIN(RADIANS(T48)))/(COS(RADIANS($B$3))*SIN(RADIANS(AD48))))),360))</f>
        <v>81.2936518942606</v>
      </c>
    </row>
    <row r="49" customFormat="false" ht="15" hidden="false" customHeight="false" outlineLevel="0" collapsed="false">
      <c r="D49" s="6" t="n">
        <f aca="false">$B$7</f>
        <v>44886</v>
      </c>
      <c r="E49" s="7" t="n">
        <f aca="false">E48+0.1/24</f>
        <v>0.2</v>
      </c>
      <c r="F49" s="8" t="n">
        <f aca="false">D49+2415018.5+E49-$B$5/24</f>
        <v>2459904.65833333</v>
      </c>
      <c r="G49" s="9" t="n">
        <f aca="false">(F49-2451545)/36525</f>
        <v>0.22887497148073</v>
      </c>
      <c r="I49" s="0" t="n">
        <f aca="false">MOD(280.46646+G49*(36000.76983+G49*0.0003032),360)</f>
        <v>240.141644008339</v>
      </c>
      <c r="J49" s="0" t="n">
        <f aca="false">357.52911+G49*(35999.05029-0.0001537*G49)</f>
        <v>8596.81071040574</v>
      </c>
      <c r="K49" s="0" t="n">
        <f aca="false">0.016708634-G49*(0.000042037+0.0000001267*G49)</f>
        <v>0.0166990061458024</v>
      </c>
      <c r="L49" s="0" t="n">
        <f aca="false">SIN(RADIANS(J49))*(1.914602-G49*(0.004817+0.000014*G49))+SIN(RADIANS(2*J49))*(0.019993-0.000101*G49)+SIN(RADIANS(3*J49))*0.000289</f>
        <v>-1.32977206778601</v>
      </c>
      <c r="M49" s="0" t="n">
        <f aca="false">I49+L49</f>
        <v>238.811871940553</v>
      </c>
      <c r="N49" s="0" t="n">
        <f aca="false">J49+L49</f>
        <v>8595.48093833796</v>
      </c>
      <c r="O49" s="0" t="n">
        <f aca="false">(1.000001018*(1-K49*K49))/(1+K49*COS(RADIANS(N49)))</f>
        <v>0.98795885197134</v>
      </c>
      <c r="P49" s="0" t="n">
        <f aca="false">M49-0.00569-0.00478*SIN(RADIANS(125.04-1934.136*G49))</f>
        <v>238.802960951823</v>
      </c>
      <c r="Q49" s="0" t="n">
        <f aca="false">23+(26+((21.448-G49*(46.815+G49*(0.00059-G49*0.001813))))/60)/60</f>
        <v>23.436314780289</v>
      </c>
      <c r="R49" s="0" t="n">
        <f aca="false">Q49+0.00256*COS(RADIANS(125.04-1934.136*G49))</f>
        <v>23.4382062897823</v>
      </c>
      <c r="S49" s="0" t="n">
        <f aca="false">DEGREES(ATAN2(COS(RADIANS(P49)),COS(RADIANS(R49))*SIN(RADIANS(P49))))</f>
        <v>-123.425148949626</v>
      </c>
      <c r="T49" s="0" t="n">
        <f aca="false">DEGREES(ASIN(SIN(RADIANS(R49))*SIN(RADIANS(P49))))</f>
        <v>-19.8915060799844</v>
      </c>
      <c r="U49" s="0" t="n">
        <f aca="false">TAN(RADIANS(R49/2))*TAN(RADIANS(R49/2))</f>
        <v>0.0430304325972186</v>
      </c>
      <c r="V49" s="0" t="n">
        <f aca="false">4*DEGREES(U49*SIN(2*RADIANS(I49))-2*K49*SIN(RADIANS(J49))+4*K49*U49*SIN(RADIANS(J49))*COS(2*RADIANS(I49))-0.5*U49*U49*SIN(4*RADIANS(I49))-1.25*K49*K49*SIN(2*RADIANS(J49)))</f>
        <v>14.2466557431661</v>
      </c>
      <c r="W49" s="0" t="n">
        <f aca="false">DEGREES(ACOS(COS(RADIANS(90.833))/(COS(RADIANS($B$3))*COS(RADIANS(T49)))-TAN(RADIANS($B$3))*TAN(RADIANS(T49))))</f>
        <v>43.8163787099798</v>
      </c>
      <c r="X49" s="7" t="n">
        <f aca="false">(720-4*$B$4-V49+$B$5*60)/1440</f>
        <v>0.499842600178357</v>
      </c>
      <c r="Y49" s="7" t="n">
        <f aca="false">X49-W49*4/1440</f>
        <v>0.37813043709508</v>
      </c>
      <c r="Z49" s="7" t="n">
        <f aca="false">X49+W49*4/1440</f>
        <v>0.621554763261634</v>
      </c>
      <c r="AA49" s="10" t="n">
        <f aca="false">8*W49</f>
        <v>350.531029679838</v>
      </c>
      <c r="AB49" s="0" t="n">
        <f aca="false">MOD(E49*1440+V49+4*$B$4-60*$B$5,1440)</f>
        <v>288.226655743166</v>
      </c>
      <c r="AC49" s="0" t="n">
        <f aca="false">IF(AB49/4&lt;0,AB49/4+180,AB49/4-180)</f>
        <v>-107.943336064208</v>
      </c>
      <c r="AD49" s="0" t="n">
        <f aca="false">DEGREES(ACOS(SIN(RADIANS($B$3))*SIN(RADIANS(T49))+COS(RADIANS($B$3))*COS(RADIANS(T49))*COS(RADIANS(AC49))))</f>
        <v>115.587009288379</v>
      </c>
      <c r="AE49" s="0" t="n">
        <f aca="false">90-AD49</f>
        <v>-25.5870092883792</v>
      </c>
      <c r="AF49" s="0" t="n">
        <f aca="false">IF(AE49&gt;85,0,IF(AE49&gt;5,58.1/TAN(RADIANS(AE49))-0.07/POWER(TAN(RADIANS(AE49)),3)+0.000086/POWER(TAN(RADIANS(AE49)),5),IF(AE49&gt;-0.575,1735+AE49*(-518.2+AE49*(103.4+AE49*(-12.79+AE49*0.711))),-20.772/TAN(RADIANS(AE49)))))/3600</f>
        <v>0.012049929553554</v>
      </c>
      <c r="AG49" s="0" t="n">
        <f aca="false">AE49+AF49</f>
        <v>-25.5749593588257</v>
      </c>
      <c r="AH49" s="0" t="n">
        <f aca="false">IF(AC49&gt;0,MOD(DEGREES(ACOS(((SIN(RADIANS($B$3))*COS(RADIANS(AD49)))-SIN(RADIANS(T49)))/(COS(RADIANS($B$3))*SIN(RADIANS(AD49)))))+180,360),MOD(540-DEGREES(ACOS(((SIN(RADIANS($B$3))*COS(RADIANS(AD49)))-SIN(RADIANS(T49)))/(COS(RADIANS($B$3))*SIN(RADIANS(AD49))))),360))</f>
        <v>82.6911306303497</v>
      </c>
    </row>
    <row r="50" customFormat="false" ht="15" hidden="false" customHeight="false" outlineLevel="0" collapsed="false">
      <c r="D50" s="6" t="n">
        <f aca="false">$B$7</f>
        <v>44886</v>
      </c>
      <c r="E50" s="7" t="n">
        <f aca="false">E49+0.1/24</f>
        <v>0.204166666666667</v>
      </c>
      <c r="F50" s="8" t="n">
        <f aca="false">D50+2415018.5+E50-$B$5/24</f>
        <v>2459904.6625</v>
      </c>
      <c r="G50" s="9" t="n">
        <f aca="false">(F50-2451545)/36525</f>
        <v>0.22887508555784</v>
      </c>
      <c r="I50" s="0" t="n">
        <f aca="false">MOD(280.46646+G50*(36000.76983+G50*0.0003032),360)</f>
        <v>240.145750872111</v>
      </c>
      <c r="J50" s="0" t="n">
        <f aca="false">357.52911+G50*(35999.05029-0.0001537*G50)</f>
        <v>8596.81481707333</v>
      </c>
      <c r="K50" s="0" t="n">
        <f aca="false">0.016708634-G50*(0.000042037+0.0000001267*G50)</f>
        <v>0.0166990061410003</v>
      </c>
      <c r="L50" s="0" t="n">
        <f aca="false">SIN(RADIANS(J50))*(1.914602-G50*(0.004817+0.000014*G50))+SIN(RADIANS(2*J50))*(0.019993-0.000101*G50)+SIN(RADIANS(3*J50))*0.000289</f>
        <v>-1.32967192715766</v>
      </c>
      <c r="M50" s="0" t="n">
        <f aca="false">I50+L50</f>
        <v>238.816078944953</v>
      </c>
      <c r="N50" s="0" t="n">
        <f aca="false">J50+L50</f>
        <v>8595.48514514617</v>
      </c>
      <c r="O50" s="0" t="n">
        <f aca="false">(1.000001018*(1-K50*K50))/(1+K50*COS(RADIANS(N50)))</f>
        <v>0.987958012686295</v>
      </c>
      <c r="P50" s="0" t="n">
        <f aca="false">M50-0.00569-0.00478*SIN(RADIANS(125.04-1934.136*G50))</f>
        <v>238.807167969823</v>
      </c>
      <c r="Q50" s="0" t="n">
        <f aca="false">23+(26+((21.448-G50*(46.815+G50*(0.00059-G50*0.001813))))/60)/60</f>
        <v>23.4363147788055</v>
      </c>
      <c r="R50" s="0" t="n">
        <f aca="false">Q50+0.00256*COS(RADIANS(125.04-1934.136*G50))</f>
        <v>23.4382062949418</v>
      </c>
      <c r="S50" s="0" t="n">
        <f aca="false">DEGREES(ATAN2(COS(RADIANS(P50)),COS(RADIANS(R50))*SIN(RADIANS(P50))))</f>
        <v>-123.420783696455</v>
      </c>
      <c r="T50" s="0" t="n">
        <f aca="false">DEGREES(ASIN(SIN(RADIANS(R50))*SIN(RADIANS(P50))))</f>
        <v>-19.8924278090725</v>
      </c>
      <c r="U50" s="0" t="n">
        <f aca="false">TAN(RADIANS(R50/2))*TAN(RADIANS(R50/2))</f>
        <v>0.0430304326167022</v>
      </c>
      <c r="V50" s="0" t="n">
        <f aca="false">4*DEGREES(U50*SIN(2*RADIANS(I50))-2*K50*SIN(RADIANS(J50))+4*K50*U50*SIN(RADIANS(J50))*COS(2*RADIANS(I50))-0.5*U50*U50*SIN(4*RADIANS(I50))-1.25*K50*K50*SIN(2*RADIANS(J50)))</f>
        <v>14.2456103324713</v>
      </c>
      <c r="W50" s="0" t="n">
        <f aca="false">DEGREES(ACOS(COS(RADIANS(90.833))/(COS(RADIANS($B$3))*COS(RADIANS(T50)))-TAN(RADIANS($B$3))*TAN(RADIANS(T50))))</f>
        <v>43.8132441399849</v>
      </c>
      <c r="X50" s="7" t="n">
        <f aca="false">(720-4*$B$4-V50+$B$5*60)/1440</f>
        <v>0.499843326158006</v>
      </c>
      <c r="Y50" s="7" t="n">
        <f aca="false">X50-W50*4/1440</f>
        <v>0.378139870213603</v>
      </c>
      <c r="Z50" s="7" t="n">
        <f aca="false">X50+W50*4/1440</f>
        <v>0.621546782102409</v>
      </c>
      <c r="AA50" s="10" t="n">
        <f aca="false">8*W50</f>
        <v>350.505953119879</v>
      </c>
      <c r="AB50" s="0" t="n">
        <f aca="false">MOD(E50*1440+V50+4*$B$4-60*$B$5,1440)</f>
        <v>294.225610332472</v>
      </c>
      <c r="AC50" s="0" t="n">
        <f aca="false">IF(AB50/4&lt;0,AB50/4+180,AB50/4-180)</f>
        <v>-106.443597416882</v>
      </c>
      <c r="AD50" s="0" t="n">
        <f aca="false">DEGREES(ACOS(SIN(RADIANS($B$3))*SIN(RADIANS(T50))+COS(RADIANS($B$3))*COS(RADIANS(T50))*COS(RADIANS(AC50))))</f>
        <v>114.945690409835</v>
      </c>
      <c r="AE50" s="0" t="n">
        <f aca="false">90-AD50</f>
        <v>-24.9456904098348</v>
      </c>
      <c r="AF50" s="0" t="n">
        <f aca="false">IF(AE50&gt;85,0,IF(AE50&gt;5,58.1/TAN(RADIANS(AE50))-0.07/POWER(TAN(RADIANS(AE50)),3)+0.000086/POWER(TAN(RADIANS(AE50)),5),IF(AE50&gt;-0.575,1735+AE50*(-518.2+AE50*(103.4+AE50*(-12.79+AE50*0.711))),-20.772/TAN(RADIANS(AE50)))))/3600</f>
        <v>0.0124044892880632</v>
      </c>
      <c r="AG50" s="0" t="n">
        <f aca="false">AE50+AF50</f>
        <v>-24.9332859205467</v>
      </c>
      <c r="AH50" s="0" t="n">
        <f aca="false">IF(AC50&gt;0,MOD(DEGREES(ACOS(((SIN(RADIANS($B$3))*COS(RADIANS(AD50)))-SIN(RADIANS(T50)))/(COS(RADIANS($B$3))*SIN(RADIANS(AD50)))))+180,360),MOD(540-DEGREES(ACOS(((SIN(RADIANS($B$3))*COS(RADIANS(AD50)))-SIN(RADIANS(T50)))/(COS(RADIANS($B$3))*SIN(RADIANS(AD50))))),360))</f>
        <v>84.0800126019871</v>
      </c>
    </row>
    <row r="51" customFormat="false" ht="15" hidden="false" customHeight="false" outlineLevel="0" collapsed="false">
      <c r="D51" s="6" t="n">
        <f aca="false">$B$7</f>
        <v>44886</v>
      </c>
      <c r="E51" s="7" t="n">
        <f aca="false">E50+0.1/24</f>
        <v>0.208333333333334</v>
      </c>
      <c r="F51" s="8" t="n">
        <f aca="false">D51+2415018.5+E51-$B$5/24</f>
        <v>2459904.66666667</v>
      </c>
      <c r="G51" s="9" t="n">
        <f aca="false">(F51-2451545)/36525</f>
        <v>0.228875199634962</v>
      </c>
      <c r="I51" s="0" t="n">
        <f aca="false">MOD(280.46646+G51*(36000.76983+G51*0.0003032),360)</f>
        <v>240.149857736342</v>
      </c>
      <c r="J51" s="0" t="n">
        <f aca="false">357.52911+G51*(35999.05029-0.0001537*G51)</f>
        <v>8596.81892374138</v>
      </c>
      <c r="K51" s="0" t="n">
        <f aca="false">0.016708634-G51*(0.000042037+0.0000001267*G51)</f>
        <v>0.0166990061361983</v>
      </c>
      <c r="L51" s="0" t="n">
        <f aca="false">SIN(RADIANS(J51))*(1.914602-G51*(0.004817+0.000014*G51))+SIN(RADIANS(2*J51))*(0.019993-0.000101*G51)+SIN(RADIANS(3*J51))*0.000289</f>
        <v>-1.32957177937103</v>
      </c>
      <c r="M51" s="0" t="n">
        <f aca="false">I51+L51</f>
        <v>238.820285956971</v>
      </c>
      <c r="N51" s="0" t="n">
        <f aca="false">J51+L51</f>
        <v>8595.48935196201</v>
      </c>
      <c r="O51" s="0" t="n">
        <f aca="false">(1.000001018*(1-K51*K51))/(1+K51*COS(RADIANS(N51)))</f>
        <v>0.987957173463828</v>
      </c>
      <c r="P51" s="0" t="n">
        <f aca="false">M51-0.00569-0.00478*SIN(RADIANS(125.04-1934.136*G51))</f>
        <v>238.811374995442</v>
      </c>
      <c r="Q51" s="0" t="n">
        <f aca="false">23+(26+((21.448-G51*(46.815+G51*(0.00059-G51*0.001813))))/60)/60</f>
        <v>23.436314777322</v>
      </c>
      <c r="R51" s="0" t="n">
        <f aca="false">Q51+0.00256*COS(RADIANS(125.04-1934.136*G51))</f>
        <v>23.4382063001013</v>
      </c>
      <c r="S51" s="0" t="n">
        <f aca="false">DEGREES(ATAN2(COS(RADIANS(P51)),COS(RADIANS(R51))*SIN(RADIANS(P51))))</f>
        <v>-123.416418384561</v>
      </c>
      <c r="T51" s="0" t="n">
        <f aca="false">DEGREES(ASIN(SIN(RADIANS(R51))*SIN(RADIANS(P51))))</f>
        <v>-19.8933494334186</v>
      </c>
      <c r="U51" s="0" t="n">
        <f aca="false">TAN(RADIANS(R51/2))*TAN(RADIANS(R51/2))</f>
        <v>0.0430304326361858</v>
      </c>
      <c r="V51" s="0" t="n">
        <f aca="false">4*DEGREES(U51*SIN(2*RADIANS(I51))-2*K51*SIN(RADIANS(J51))+4*K51*U51*SIN(RADIANS(J51))*COS(2*RADIANS(I51))-0.5*U51*U51*SIN(4*RADIANS(I51))-1.25*K51*K51*SIN(2*RADIANS(J51)))</f>
        <v>14.244564688552</v>
      </c>
      <c r="W51" s="0" t="n">
        <f aca="false">DEGREES(ACOS(COS(RADIANS(90.833))/(COS(RADIANS($B$3))*COS(RADIANS(T51)))-TAN(RADIANS($B$3))*TAN(RADIANS(T51))))</f>
        <v>43.8101097117466</v>
      </c>
      <c r="X51" s="7" t="n">
        <f aca="false">(720-4*$B$4-V51+$B$5*60)/1440</f>
        <v>0.499844052299617</v>
      </c>
      <c r="Y51" s="7" t="n">
        <f aca="false">X51-W51*4/1440</f>
        <v>0.378149303100321</v>
      </c>
      <c r="Z51" s="7" t="n">
        <f aca="false">X51+W51*4/1440</f>
        <v>0.621538801498913</v>
      </c>
      <c r="AA51" s="10" t="n">
        <f aca="false">8*W51</f>
        <v>350.480877693973</v>
      </c>
      <c r="AB51" s="0" t="n">
        <f aca="false">MOD(E51*1440+V51+4*$B$4-60*$B$5,1440)</f>
        <v>300.224564688552</v>
      </c>
      <c r="AC51" s="0" t="n">
        <f aca="false">IF(AB51/4&lt;0,AB51/4+180,AB51/4-180)</f>
        <v>-104.943858827862</v>
      </c>
      <c r="AD51" s="0" t="n">
        <f aca="false">DEGREES(ACOS(SIN(RADIANS($B$3))*SIN(RADIANS(T51))+COS(RADIANS($B$3))*COS(RADIANS(T51))*COS(RADIANS(AC51))))</f>
        <v>114.302758982047</v>
      </c>
      <c r="AE51" s="0" t="n">
        <f aca="false">90-AD51</f>
        <v>-24.3027589820475</v>
      </c>
      <c r="AF51" s="0" t="n">
        <f aca="false">IF(AE51&gt;85,0,IF(AE51&gt;5,58.1/TAN(RADIANS(AE51))-0.07/POWER(TAN(RADIANS(AE51)),3)+0.000086/POWER(TAN(RADIANS(AE51)),5),IF(AE51&gt;-0.575,1735+AE51*(-518.2+AE51*(103.4+AE51*(-12.79+AE51*0.711))),-20.772/TAN(RADIANS(AE51)))))/3600</f>
        <v>0.0127774929164207</v>
      </c>
      <c r="AG51" s="0" t="n">
        <f aca="false">AE51+AF51</f>
        <v>-24.2899814891311</v>
      </c>
      <c r="AH51" s="0" t="n">
        <f aca="false">IF(AC51&gt;0,MOD(DEGREES(ACOS(((SIN(RADIANS($B$3))*COS(RADIANS(AD51)))-SIN(RADIANS(T51)))/(COS(RADIANS($B$3))*SIN(RADIANS(AD51)))))+180,360),MOD(540-DEGREES(ACOS(((SIN(RADIANS($B$3))*COS(RADIANS(AD51)))-SIN(RADIANS(T51)))/(COS(RADIANS($B$3))*SIN(RADIANS(AD51))))),360))</f>
        <v>85.4607551263348</v>
      </c>
    </row>
    <row r="52" customFormat="false" ht="15" hidden="false" customHeight="false" outlineLevel="0" collapsed="false">
      <c r="D52" s="6" t="n">
        <f aca="false">$B$7</f>
        <v>44886</v>
      </c>
      <c r="E52" s="7" t="n">
        <f aca="false">E51+0.1/24</f>
        <v>0.2125</v>
      </c>
      <c r="F52" s="8" t="n">
        <f aca="false">D52+2415018.5+E52-$B$5/24</f>
        <v>2459904.67083333</v>
      </c>
      <c r="G52" s="9" t="n">
        <f aca="false">(F52-2451545)/36525</f>
        <v>0.228875313712071</v>
      </c>
      <c r="I52" s="0" t="n">
        <f aca="false">MOD(280.46646+G52*(36000.76983+G52*0.0003032),360)</f>
        <v>240.153964600115</v>
      </c>
      <c r="J52" s="0" t="n">
        <f aca="false">357.52911+G52*(35999.05029-0.0001537*G52)</f>
        <v>8596.82303040897</v>
      </c>
      <c r="K52" s="0" t="n">
        <f aca="false">0.016708634-G52*(0.000042037+0.0000001267*G52)</f>
        <v>0.0166990061313962</v>
      </c>
      <c r="L52" s="0" t="n">
        <f aca="false">SIN(RADIANS(J52))*(1.914602-G52*(0.004817+0.000014*G52))+SIN(RADIANS(2*J52))*(0.019993-0.000101*G52)+SIN(RADIANS(3*J52))*0.000289</f>
        <v>-1.32947162444884</v>
      </c>
      <c r="M52" s="0" t="n">
        <f aca="false">I52+L52</f>
        <v>238.824492975666</v>
      </c>
      <c r="N52" s="0" t="n">
        <f aca="false">J52+L52</f>
        <v>8595.49355878452</v>
      </c>
      <c r="O52" s="0" t="n">
        <f aca="false">(1.000001018*(1-K52*K52))/(1+K52*COS(RADIANS(N52)))</f>
        <v>0.987956334304133</v>
      </c>
      <c r="P52" s="0" t="n">
        <f aca="false">M52-0.00569-0.00478*SIN(RADIANS(125.04-1934.136*G52))</f>
        <v>238.815582027738</v>
      </c>
      <c r="Q52" s="0" t="n">
        <f aca="false">23+(26+((21.448-G52*(46.815+G52*(0.00059-G52*0.001813))))/60)/60</f>
        <v>23.4363147758386</v>
      </c>
      <c r="R52" s="0" t="n">
        <f aca="false">Q52+0.00256*COS(RADIANS(125.04-1934.136*G52))</f>
        <v>23.4382063052608</v>
      </c>
      <c r="S52" s="0" t="n">
        <f aca="false">DEGREES(ATAN2(COS(RADIANS(P52)),COS(RADIANS(R52))*SIN(RADIANS(P52))))</f>
        <v>-123.412053014922</v>
      </c>
      <c r="T52" s="0" t="n">
        <f aca="false">DEGREES(ASIN(SIN(RADIANS(R52))*SIN(RADIANS(P52))))</f>
        <v>-19.8942709528092</v>
      </c>
      <c r="U52" s="0" t="n">
        <f aca="false">TAN(RADIANS(R52/2))*TAN(RADIANS(R52/2))</f>
        <v>0.0430304326556692</v>
      </c>
      <c r="V52" s="0" t="n">
        <f aca="false">4*DEGREES(U52*SIN(2*RADIANS(I52))-2*K52*SIN(RADIANS(J52))+4*K52*U52*SIN(RADIANS(J52))*COS(2*RADIANS(I52))-0.5*U52*U52*SIN(4*RADIANS(I52))-1.25*K52*K52*SIN(2*RADIANS(J52)))</f>
        <v>14.2435188116547</v>
      </c>
      <c r="W52" s="0" t="n">
        <f aca="false">DEGREES(ACOS(COS(RADIANS(90.833))/(COS(RADIANS($B$3))*COS(RADIANS(T52)))-TAN(RADIANS($B$3))*TAN(RADIANS(T52))))</f>
        <v>43.8069754260155</v>
      </c>
      <c r="X52" s="7" t="n">
        <f aca="false">(720-4*$B$4-V52+$B$5*60)/1440</f>
        <v>0.499844778603018</v>
      </c>
      <c r="Y52" s="7" t="n">
        <f aca="false">X52-W52*4/1440</f>
        <v>0.378158735752975</v>
      </c>
      <c r="Z52" s="7" t="n">
        <f aca="false">X52+W52*4/1440</f>
        <v>0.621530821453061</v>
      </c>
      <c r="AA52" s="10" t="n">
        <f aca="false">8*W52</f>
        <v>350.455803408124</v>
      </c>
      <c r="AB52" s="0" t="n">
        <f aca="false">MOD(E52*1440+V52+4*$B$4-60*$B$5,1440)</f>
        <v>306.223518811655</v>
      </c>
      <c r="AC52" s="0" t="n">
        <f aca="false">IF(AB52/4&lt;0,AB52/4+180,AB52/4-180)</f>
        <v>-103.444120297086</v>
      </c>
      <c r="AD52" s="0" t="n">
        <f aca="false">DEGREES(ACOS(SIN(RADIANS($B$3))*SIN(RADIANS(T52))+COS(RADIANS($B$3))*COS(RADIANS(T52))*COS(RADIANS(AC52))))</f>
        <v>113.658597152688</v>
      </c>
      <c r="AE52" s="0" t="n">
        <f aca="false">90-AD52</f>
        <v>-23.658597152688</v>
      </c>
      <c r="AF52" s="0" t="n">
        <f aca="false">IF(AE52&gt;85,0,IF(AE52&gt;5,58.1/TAN(RADIANS(AE52))-0.07/POWER(TAN(RADIANS(AE52)),3)+0.000086/POWER(TAN(RADIANS(AE52)),5),IF(AE52&gt;-0.575,1735+AE52*(-518.2+AE52*(103.4+AE52*(-12.79+AE52*0.711))),-20.772/TAN(RADIANS(AE52)))))/3600</f>
        <v>0.01317027683966</v>
      </c>
      <c r="AG52" s="0" t="n">
        <f aca="false">AE52+AF52</f>
        <v>-23.6454268758484</v>
      </c>
      <c r="AH52" s="0" t="n">
        <f aca="false">IF(AC52&gt;0,MOD(DEGREES(ACOS(((SIN(RADIANS($B$3))*COS(RADIANS(AD52)))-SIN(RADIANS(T52)))/(COS(RADIANS($B$3))*SIN(RADIANS(AD52)))))+180,360),MOD(540-DEGREES(ACOS(((SIN(RADIANS($B$3))*COS(RADIANS(AD52)))-SIN(RADIANS(T52)))/(COS(RADIANS($B$3))*SIN(RADIANS(AD52))))),360))</f>
        <v>86.8338107734105</v>
      </c>
    </row>
    <row r="53" customFormat="false" ht="15" hidden="false" customHeight="false" outlineLevel="0" collapsed="false">
      <c r="D53" s="6" t="n">
        <f aca="false">$B$7</f>
        <v>44886</v>
      </c>
      <c r="E53" s="7" t="n">
        <f aca="false">E52+0.1/24</f>
        <v>0.216666666666667</v>
      </c>
      <c r="F53" s="8" t="n">
        <f aca="false">D53+2415018.5+E53-$B$5/24</f>
        <v>2459904.675</v>
      </c>
      <c r="G53" s="9" t="n">
        <f aca="false">(F53-2451545)/36525</f>
        <v>0.228875427789193</v>
      </c>
      <c r="I53" s="0" t="n">
        <f aca="false">MOD(280.46646+G53*(36000.76983+G53*0.0003032),360)</f>
        <v>240.158071464344</v>
      </c>
      <c r="J53" s="0" t="n">
        <f aca="false">357.52911+G53*(35999.05029-0.0001537*G53)</f>
        <v>8596.82713707701</v>
      </c>
      <c r="K53" s="0" t="n">
        <f aca="false">0.016708634-G53*(0.000042037+0.0000001267*G53)</f>
        <v>0.0166990061265941</v>
      </c>
      <c r="L53" s="0" t="n">
        <f aca="false">SIN(RADIANS(J53))*(1.914602-G53*(0.004817+0.000014*G53))+SIN(RADIANS(2*J53))*(0.019993-0.000101*G53)+SIN(RADIANS(3*J53))*0.000289</f>
        <v>-1.32937146236939</v>
      </c>
      <c r="M53" s="0" t="n">
        <f aca="false">I53+L53</f>
        <v>238.828700001975</v>
      </c>
      <c r="N53" s="0" t="n">
        <f aca="false">J53+L53</f>
        <v>8595.49776561464</v>
      </c>
      <c r="O53" s="0" t="n">
        <f aca="false">(1.000001018*(1-K53*K53))/(1+K53*COS(RADIANS(N53)))</f>
        <v>0.987955495207028</v>
      </c>
      <c r="P53" s="0" t="n">
        <f aca="false">M53-0.00569-0.00478*SIN(RADIANS(125.04-1934.136*G53))</f>
        <v>238.819789067647</v>
      </c>
      <c r="Q53" s="0" t="n">
        <f aca="false">23+(26+((21.448-G53*(46.815+G53*(0.00059-G53*0.001813))))/60)/60</f>
        <v>23.4363147743551</v>
      </c>
      <c r="R53" s="0" t="n">
        <f aca="false">Q53+0.00256*COS(RADIANS(125.04-1934.136*G53))</f>
        <v>23.4382063104202</v>
      </c>
      <c r="S53" s="0" t="n">
        <f aca="false">DEGREES(ATAN2(COS(RADIANS(P53)),COS(RADIANS(R53))*SIN(RADIANS(P53))))</f>
        <v>-123.407687586569</v>
      </c>
      <c r="T53" s="0" t="n">
        <f aca="false">DEGREES(ASIN(SIN(RADIANS(R53))*SIN(RADIANS(P53))))</f>
        <v>-19.8951923674424</v>
      </c>
      <c r="U53" s="0" t="n">
        <f aca="false">TAN(RADIANS(R53/2))*TAN(RADIANS(R53/2))</f>
        <v>0.0430304326751526</v>
      </c>
      <c r="V53" s="0" t="n">
        <f aca="false">4*DEGREES(U53*SIN(2*RADIANS(I53))-2*K53*SIN(RADIANS(J53))+4*K53*U53*SIN(RADIANS(J53))*COS(2*RADIANS(I53))-0.5*U53*U53*SIN(4*RADIANS(I53))-1.25*K53*K53*SIN(2*RADIANS(J53)))</f>
        <v>14.2424727015604</v>
      </c>
      <c r="W53" s="0" t="n">
        <f aca="false">DEGREES(ACOS(COS(RADIANS(90.833))/(COS(RADIANS($B$3))*COS(RADIANS(T53)))-TAN(RADIANS($B$3))*TAN(RADIANS(T53))))</f>
        <v>43.8038412821428</v>
      </c>
      <c r="X53" s="7" t="n">
        <f aca="false">(720-4*$B$4-V53+$B$5*60)/1440</f>
        <v>0.499845505068361</v>
      </c>
      <c r="Y53" s="7" t="n">
        <f aca="false">X53-W53*4/1440</f>
        <v>0.37816816817352</v>
      </c>
      <c r="Z53" s="7" t="n">
        <f aca="false">X53+W53*4/1440</f>
        <v>0.621522841963202</v>
      </c>
      <c r="AA53" s="10" t="n">
        <f aca="false">8*W53</f>
        <v>350.430730257142</v>
      </c>
      <c r="AB53" s="0" t="n">
        <f aca="false">MOD(E53*1440+V53+4*$B$4-60*$B$5,1440)</f>
        <v>312.222472701561</v>
      </c>
      <c r="AC53" s="0" t="n">
        <f aca="false">IF(AB53/4&lt;0,AB53/4+180,AB53/4-180)</f>
        <v>-101.94438182461</v>
      </c>
      <c r="AD53" s="0" t="n">
        <f aca="false">DEGREES(ACOS(SIN(RADIANS($B$3))*SIN(RADIANS(T53))+COS(RADIANS($B$3))*COS(RADIANS(T53))*COS(RADIANS(AC53))))</f>
        <v>113.013581144488</v>
      </c>
      <c r="AE53" s="0" t="n">
        <f aca="false">90-AD53</f>
        <v>-23.0135811444882</v>
      </c>
      <c r="AF53" s="0" t="n">
        <f aca="false">IF(AE53&gt;85,0,IF(AE53&gt;5,58.1/TAN(RADIANS(AE53))-0.07/POWER(TAN(RADIANS(AE53)),3)+0.000086/POWER(TAN(RADIANS(AE53)),5),IF(AE53&gt;-0.575,1735+AE53*(-518.2+AE53*(103.4+AE53*(-12.79+AE53*0.711))),-20.772/TAN(RADIANS(AE53)))))/3600</f>
        <v>0.0135843146869693</v>
      </c>
      <c r="AG53" s="0" t="n">
        <f aca="false">AE53+AF53</f>
        <v>-22.9999968298012</v>
      </c>
      <c r="AH53" s="0" t="n">
        <f aca="false">IF(AC53&gt;0,MOD(DEGREES(ACOS(((SIN(RADIANS($B$3))*COS(RADIANS(AD53)))-SIN(RADIANS(T53)))/(COS(RADIANS($B$3))*SIN(RADIANS(AD53)))))+180,360),MOD(540-DEGREES(ACOS(((SIN(RADIANS($B$3))*COS(RADIANS(AD53)))-SIN(RADIANS(T53)))/(COS(RADIANS($B$3))*SIN(RADIANS(AD53))))),360))</f>
        <v>88.1996267932418</v>
      </c>
    </row>
    <row r="54" customFormat="false" ht="15" hidden="false" customHeight="false" outlineLevel="0" collapsed="false">
      <c r="D54" s="6" t="n">
        <f aca="false">$B$7</f>
        <v>44886</v>
      </c>
      <c r="E54" s="7" t="n">
        <f aca="false">E53+0.1/24</f>
        <v>0.220833333333334</v>
      </c>
      <c r="F54" s="8" t="n">
        <f aca="false">D54+2415018.5+E54-$B$5/24</f>
        <v>2459904.67916667</v>
      </c>
      <c r="G54" s="9" t="n">
        <f aca="false">(F54-2451545)/36525</f>
        <v>0.228875541866302</v>
      </c>
      <c r="I54" s="0" t="n">
        <f aca="false">MOD(280.46646+G54*(36000.76983+G54*0.0003032),360)</f>
        <v>240.162178328115</v>
      </c>
      <c r="J54" s="0" t="n">
        <f aca="false">357.52911+G54*(35999.05029-0.0001537*G54)</f>
        <v>8596.8312437446</v>
      </c>
      <c r="K54" s="0" t="n">
        <f aca="false">0.016708634-G54*(0.000042037+0.0000001267*G54)</f>
        <v>0.016699006121792</v>
      </c>
      <c r="L54" s="0" t="n">
        <f aca="false">SIN(RADIANS(J54))*(1.914602-G54*(0.004817+0.000014*G54))+SIN(RADIANS(2*J54))*(0.019993-0.000101*G54)+SIN(RADIANS(3*J54))*0.000289</f>
        <v>-1.32927129315552</v>
      </c>
      <c r="M54" s="0" t="n">
        <f aca="false">I54+L54</f>
        <v>238.83290703496</v>
      </c>
      <c r="N54" s="0" t="n">
        <f aca="false">J54+L54</f>
        <v>8595.50197245144</v>
      </c>
      <c r="O54" s="0" t="n">
        <f aca="false">(1.000001018*(1-K54*K54))/(1+K54*COS(RADIANS(N54)))</f>
        <v>0.987954656172704</v>
      </c>
      <c r="P54" s="0" t="n">
        <f aca="false">M54-0.00569-0.00478*SIN(RADIANS(125.04-1934.136*G54))</f>
        <v>238.823996114233</v>
      </c>
      <c r="Q54" s="0" t="n">
        <f aca="false">23+(26+((21.448-G54*(46.815+G54*(0.00059-G54*0.001813))))/60)/60</f>
        <v>23.4363147728716</v>
      </c>
      <c r="R54" s="0" t="n">
        <f aca="false">Q54+0.00256*COS(RADIANS(125.04-1934.136*G54))</f>
        <v>23.4382063155796</v>
      </c>
      <c r="S54" s="0" t="n">
        <f aca="false">DEGREES(ATAN2(COS(RADIANS(P54)),COS(RADIANS(R54))*SIN(RADIANS(P54))))</f>
        <v>-123.403322100478</v>
      </c>
      <c r="T54" s="0" t="n">
        <f aca="false">DEGREES(ASIN(SIN(RADIANS(R54))*SIN(RADIANS(P54))))</f>
        <v>-19.8961136771057</v>
      </c>
      <c r="U54" s="0" t="n">
        <f aca="false">TAN(RADIANS(R54/2))*TAN(RADIANS(R54/2))</f>
        <v>0.0430304326946358</v>
      </c>
      <c r="V54" s="0" t="n">
        <f aca="false">4*DEGREES(U54*SIN(2*RADIANS(I54))-2*K54*SIN(RADIANS(J54))+4*K54*U54*SIN(RADIANS(J54))*COS(2*RADIANS(I54))-0.5*U54*U54*SIN(4*RADIANS(I54))-1.25*K54*K54*SIN(2*RADIANS(J54)))</f>
        <v>14.2414263585154</v>
      </c>
      <c r="W54" s="0" t="n">
        <f aca="false">DEGREES(ACOS(COS(RADIANS(90.833))/(COS(RADIANS($B$3))*COS(RADIANS(T54)))-TAN(RADIANS($B$3))*TAN(RADIANS(T54))))</f>
        <v>43.8007072808764</v>
      </c>
      <c r="X54" s="7" t="n">
        <f aca="false">(720-4*$B$4-V54+$B$5*60)/1440</f>
        <v>0.499846231695475</v>
      </c>
      <c r="Y54" s="7" t="n">
        <f aca="false">X54-W54*4/1440</f>
        <v>0.378177600359708</v>
      </c>
      <c r="Z54" s="7" t="n">
        <f aca="false">X54+W54*4/1440</f>
        <v>0.621514863031243</v>
      </c>
      <c r="AA54" s="10" t="n">
        <f aca="false">8*W54</f>
        <v>350.405658247011</v>
      </c>
      <c r="AB54" s="0" t="n">
        <f aca="false">MOD(E54*1440+V54+4*$B$4-60*$B$5,1440)</f>
        <v>318.221426358516</v>
      </c>
      <c r="AC54" s="0" t="n">
        <f aca="false">IF(AB54/4&lt;0,AB54/4+180,AB54/4-180)</f>
        <v>-100.444643410371</v>
      </c>
      <c r="AD54" s="0" t="n">
        <f aca="false">DEGREES(ACOS(SIN(RADIANS($B$3))*SIN(RADIANS(T54))+COS(RADIANS($B$3))*COS(RADIANS(T54))*COS(RADIANS(AC54))))</f>
        <v>112.368081541348</v>
      </c>
      <c r="AE54" s="0" t="n">
        <f aca="false">90-AD54</f>
        <v>-22.3680815413484</v>
      </c>
      <c r="AF54" s="0" t="n">
        <f aca="false">IF(AE54&gt;85,0,IF(AE54&gt;5,58.1/TAN(RADIANS(AE54))-0.07/POWER(TAN(RADIANS(AE54)),3)+0.000086/POWER(TAN(RADIANS(AE54)),5),IF(AE54&gt;-0.575,1735+AE54*(-518.2+AE54*(103.4+AE54*(-12.79+AE54*0.711))),-20.772/TAN(RADIANS(AE54)))))/3600</f>
        <v>0.0140212345438274</v>
      </c>
      <c r="AG54" s="0" t="n">
        <f aca="false">AE54+AF54</f>
        <v>-22.3540603068046</v>
      </c>
      <c r="AH54" s="0" t="n">
        <f aca="false">IF(AC54&gt;0,MOD(DEGREES(ACOS(((SIN(RADIANS($B$3))*COS(RADIANS(AD54)))-SIN(RADIANS(T54)))/(COS(RADIANS($B$3))*SIN(RADIANS(AD54)))))+180,360),MOD(540-DEGREES(ACOS(((SIN(RADIANS($B$3))*COS(RADIANS(AD54)))-SIN(RADIANS(T54)))/(COS(RADIANS($B$3))*SIN(RADIANS(AD54))))),360))</f>
        <v>89.5586446101792</v>
      </c>
    </row>
    <row r="55" customFormat="false" ht="15" hidden="false" customHeight="false" outlineLevel="0" collapsed="false">
      <c r="D55" s="6" t="n">
        <f aca="false">$B$7</f>
        <v>44886</v>
      </c>
      <c r="E55" s="7" t="n">
        <f aca="false">E54+0.1/24</f>
        <v>0.225</v>
      </c>
      <c r="F55" s="8" t="n">
        <f aca="false">D55+2415018.5+E55-$B$5/24</f>
        <v>2459904.68333333</v>
      </c>
      <c r="G55" s="9" t="n">
        <f aca="false">(F55-2451545)/36525</f>
        <v>0.228875655943425</v>
      </c>
      <c r="I55" s="0" t="n">
        <f aca="false">MOD(280.46646+G55*(36000.76983+G55*0.0003032),360)</f>
        <v>240.166285192347</v>
      </c>
      <c r="J55" s="0" t="n">
        <f aca="false">357.52911+G55*(35999.05029-0.0001537*G55)</f>
        <v>8596.83535041265</v>
      </c>
      <c r="K55" s="0" t="n">
        <f aca="false">0.016708634-G55*(0.000042037+0.0000001267*G55)</f>
        <v>0.01669900611699</v>
      </c>
      <c r="L55" s="0" t="n">
        <f aca="false">SIN(RADIANS(J55))*(1.914602-G55*(0.004817+0.000014*G55))+SIN(RADIANS(2*J55))*(0.019993-0.000101*G55)+SIN(RADIANS(3*J55))*0.000289</f>
        <v>-1.32917111678528</v>
      </c>
      <c r="M55" s="0" t="n">
        <f aca="false">I55+L55</f>
        <v>238.837114075561</v>
      </c>
      <c r="N55" s="0" t="n">
        <f aca="false">J55+L55</f>
        <v>8595.50617929586</v>
      </c>
      <c r="O55" s="0" t="n">
        <f aca="false">(1.000001018*(1-K55*K55))/(1+K55*COS(RADIANS(N55)))</f>
        <v>0.987953817200977</v>
      </c>
      <c r="P55" s="0" t="n">
        <f aca="false">M55-0.00569-0.00478*SIN(RADIANS(125.04-1934.136*G55))</f>
        <v>238.828203168435</v>
      </c>
      <c r="Q55" s="0" t="n">
        <f aca="false">23+(26+((21.448-G55*(46.815+G55*(0.00059-G55*0.001813))))/60)/60</f>
        <v>23.4363147713881</v>
      </c>
      <c r="R55" s="0" t="n">
        <f aca="false">Q55+0.00256*COS(RADIANS(125.04-1934.136*G55))</f>
        <v>23.4382063207389</v>
      </c>
      <c r="S55" s="0" t="n">
        <f aca="false">DEGREES(ATAN2(COS(RADIANS(P55)),COS(RADIANS(R55))*SIN(RADIANS(P55))))</f>
        <v>-123.398956555676</v>
      </c>
      <c r="T55" s="0" t="n">
        <f aca="false">DEGREES(ASIN(SIN(RADIANS(R55))*SIN(RADIANS(P55))))</f>
        <v>-19.8970348819978</v>
      </c>
      <c r="U55" s="0" t="n">
        <f aca="false">TAN(RADIANS(R55/2))*TAN(RADIANS(R55/2))</f>
        <v>0.043030432714119</v>
      </c>
      <c r="V55" s="0" t="n">
        <f aca="false">4*DEGREES(U55*SIN(2*RADIANS(I55))-2*K55*SIN(RADIANS(J55))+4*K55*U55*SIN(RADIANS(J55))*COS(2*RADIANS(I55))-0.5*U55*U55*SIN(4*RADIANS(I55))-1.25*K55*K55*SIN(2*RADIANS(J55)))</f>
        <v>14.2403797822989</v>
      </c>
      <c r="W55" s="0" t="n">
        <f aca="false">DEGREES(ACOS(COS(RADIANS(90.833))/(COS(RADIANS($B$3))*COS(RADIANS(T55)))-TAN(RADIANS($B$3))*TAN(RADIANS(T55))))</f>
        <v>43.7975734215647</v>
      </c>
      <c r="X55" s="7" t="n">
        <f aca="false">(720-4*$B$4-V55+$B$5*60)/1440</f>
        <v>0.499846958484515</v>
      </c>
      <c r="Y55" s="7" t="n">
        <f aca="false">X55-W55*4/1440</f>
        <v>0.378187032313502</v>
      </c>
      <c r="Z55" s="7" t="n">
        <f aca="false">X55+W55*4/1440</f>
        <v>0.621506884655528</v>
      </c>
      <c r="AA55" s="10" t="n">
        <f aca="false">8*W55</f>
        <v>350.380587372517</v>
      </c>
      <c r="AB55" s="0" t="n">
        <f aca="false">MOD(E55*1440+V55+4*$B$4-60*$B$5,1440)</f>
        <v>324.220379782299</v>
      </c>
      <c r="AC55" s="0" t="n">
        <f aca="false">IF(AB55/4&lt;0,AB55/4+180,AB55/4-180)</f>
        <v>-98.9449050544252</v>
      </c>
      <c r="AD55" s="0" t="n">
        <f aca="false">DEGREES(ACOS(SIN(RADIANS($B$3))*SIN(RADIANS(T55))+COS(RADIANS($B$3))*COS(RADIANS(T55))*COS(RADIANS(AC55))))</f>
        <v>111.722463574927</v>
      </c>
      <c r="AE55" s="0" t="n">
        <f aca="false">90-AD55</f>
        <v>-21.7224635749271</v>
      </c>
      <c r="AF55" s="0" t="n">
        <f aca="false">IF(AE55&gt;85,0,IF(AE55&gt;5,58.1/TAN(RADIANS(AE55))-0.07/POWER(TAN(RADIANS(AE55)),3)+0.000086/POWER(TAN(RADIANS(AE55)),5),IF(AE55&gt;-0.575,1735+AE55*(-518.2+AE55*(103.4+AE55*(-12.79+AE55*0.711))),-20.772/TAN(RADIANS(AE55)))))/3600</f>
        <v>0.0144828388551102</v>
      </c>
      <c r="AG55" s="0" t="n">
        <f aca="false">AE55+AF55</f>
        <v>-21.707980736072</v>
      </c>
      <c r="AH55" s="0" t="n">
        <f aca="false">IF(AC55&gt;0,MOD(DEGREES(ACOS(((SIN(RADIANS($B$3))*COS(RADIANS(AD55)))-SIN(RADIANS(T55)))/(COS(RADIANS($B$3))*SIN(RADIANS(AD55)))))+180,360),MOD(540-DEGREES(ACOS(((SIN(RADIANS($B$3))*COS(RADIANS(AD55)))-SIN(RADIANS(T55)))/(COS(RADIANS($B$3))*SIN(RADIANS(AD55))))),360))</f>
        <v>90.9112993778886</v>
      </c>
    </row>
    <row r="56" customFormat="false" ht="15" hidden="false" customHeight="false" outlineLevel="0" collapsed="false">
      <c r="D56" s="6" t="n">
        <f aca="false">$B$7</f>
        <v>44886</v>
      </c>
      <c r="E56" s="7" t="n">
        <f aca="false">E55+0.1/24</f>
        <v>0.229166666666667</v>
      </c>
      <c r="F56" s="8" t="n">
        <f aca="false">D56+2415018.5+E56-$B$5/24</f>
        <v>2459904.6875</v>
      </c>
      <c r="G56" s="9" t="n">
        <f aca="false">(F56-2451545)/36525</f>
        <v>0.228875770020534</v>
      </c>
      <c r="I56" s="0" t="n">
        <f aca="false">MOD(280.46646+G56*(36000.76983+G56*0.0003032),360)</f>
        <v>240.170392056119</v>
      </c>
      <c r="J56" s="0" t="n">
        <f aca="false">357.52911+G56*(35999.05029-0.0001537*G56)</f>
        <v>8596.83945708023</v>
      </c>
      <c r="K56" s="0" t="n">
        <f aca="false">0.016708634-G56*(0.000042037+0.0000001267*G56)</f>
        <v>0.0166990061121879</v>
      </c>
      <c r="L56" s="0" t="n">
        <f aca="false">SIN(RADIANS(J56))*(1.914602-G56*(0.004817+0.000014*G56))+SIN(RADIANS(2*J56))*(0.019993-0.000101*G56)+SIN(RADIANS(3*J56))*0.000289</f>
        <v>-1.32907093328169</v>
      </c>
      <c r="M56" s="0" t="n">
        <f aca="false">I56+L56</f>
        <v>238.841321122838</v>
      </c>
      <c r="N56" s="0" t="n">
        <f aca="false">J56+L56</f>
        <v>8595.51038614695</v>
      </c>
      <c r="O56" s="0" t="n">
        <f aca="false">(1.000001018*(1-K56*K56))/(1+K56*COS(RADIANS(N56)))</f>
        <v>0.987952978292042</v>
      </c>
      <c r="P56" s="0" t="n">
        <f aca="false">M56-0.00569-0.00478*SIN(RADIANS(125.04-1934.136*G56))</f>
        <v>238.832410229313</v>
      </c>
      <c r="Q56" s="0" t="n">
        <f aca="false">23+(26+((21.448-G56*(46.815+G56*(0.00059-G56*0.001813))))/60)/60</f>
        <v>23.4363147699047</v>
      </c>
      <c r="R56" s="0" t="n">
        <f aca="false">Q56+0.00256*COS(RADIANS(125.04-1934.136*G56))</f>
        <v>23.4382063258983</v>
      </c>
      <c r="S56" s="0" t="n">
        <f aca="false">DEGREES(ATAN2(COS(RADIANS(P56)),COS(RADIANS(R56))*SIN(RADIANS(P56))))</f>
        <v>-123.394590953141</v>
      </c>
      <c r="T56" s="0" t="n">
        <f aca="false">DEGREES(ASIN(SIN(RADIANS(R56))*SIN(RADIANS(P56))))</f>
        <v>-19.8979559819056</v>
      </c>
      <c r="U56" s="0" t="n">
        <f aca="false">TAN(RADIANS(R56/2))*TAN(RADIANS(R56/2))</f>
        <v>0.043030432733602</v>
      </c>
      <c r="V56" s="0" t="n">
        <f aca="false">4*DEGREES(U56*SIN(2*RADIANS(I56))-2*K56*SIN(RADIANS(J56))+4*K56*U56*SIN(RADIANS(J56))*COS(2*RADIANS(I56))-0.5*U56*U56*SIN(4*RADIANS(I56))-1.25*K56*K56*SIN(2*RADIANS(J56)))</f>
        <v>14.2393329731589</v>
      </c>
      <c r="W56" s="0" t="n">
        <f aca="false">DEGREES(ACOS(COS(RADIANS(90.833))/(COS(RADIANS($B$3))*COS(RADIANS(T56)))-TAN(RADIANS($B$3))*TAN(RADIANS(T56))))</f>
        <v>43.7944397049583</v>
      </c>
      <c r="X56" s="7" t="n">
        <f aca="false">(720-4*$B$4-V56+$B$5*60)/1440</f>
        <v>0.499847685435306</v>
      </c>
      <c r="Y56" s="7" t="n">
        <f aca="false">X56-W56*4/1440</f>
        <v>0.378196464032644</v>
      </c>
      <c r="Z56" s="7" t="n">
        <f aca="false">X56+W56*4/1440</f>
        <v>0.621498906837968</v>
      </c>
      <c r="AA56" s="10" t="n">
        <f aca="false">8*W56</f>
        <v>350.355517639667</v>
      </c>
      <c r="AB56" s="0" t="n">
        <f aca="false">MOD(E56*1440+V56+4*$B$4-60*$B$5,1440)</f>
        <v>330.219332973159</v>
      </c>
      <c r="AC56" s="0" t="n">
        <f aca="false">IF(AB56/4&lt;0,AB56/4+180,AB56/4-180)</f>
        <v>-97.4451667567102</v>
      </c>
      <c r="AD56" s="0" t="n">
        <f aca="false">DEGREES(ACOS(SIN(RADIANS($B$3))*SIN(RADIANS(T56))+COS(RADIANS($B$3))*COS(RADIANS(T56))*COS(RADIANS(AC56))))</f>
        <v>111.077087406618</v>
      </c>
      <c r="AE56" s="0" t="n">
        <f aca="false">90-AD56</f>
        <v>-21.0770874066182</v>
      </c>
      <c r="AF56" s="0" t="n">
        <f aca="false">IF(AE56&gt;85,0,IF(AE56&gt;5,58.1/TAN(RADIANS(AE56))-0.07/POWER(TAN(RADIANS(AE56)),3)+0.000086/POWER(TAN(RADIANS(AE56)),5),IF(AE56&gt;-0.575,1735+AE56*(-518.2+AE56*(103.4+AE56*(-12.79+AE56*0.711))),-20.772/TAN(RADIANS(AE56)))))/3600</f>
        <v>0.0149711275004374</v>
      </c>
      <c r="AG56" s="0" t="n">
        <f aca="false">AE56+AF56</f>
        <v>-21.0621162791178</v>
      </c>
      <c r="AH56" s="0" t="n">
        <f aca="false">IF(AC56&gt;0,MOD(DEGREES(ACOS(((SIN(RADIANS($B$3))*COS(RADIANS(AD56)))-SIN(RADIANS(T56)))/(COS(RADIANS($B$3))*SIN(RADIANS(AD56)))))+180,360),MOD(540-DEGREES(ACOS(((SIN(RADIANS($B$3))*COS(RADIANS(AD56)))-SIN(RADIANS(T56)))/(COS(RADIANS($B$3))*SIN(RADIANS(AD56))))),360))</f>
        <v>92.2580195873974</v>
      </c>
    </row>
    <row r="57" customFormat="false" ht="15" hidden="false" customHeight="false" outlineLevel="0" collapsed="false">
      <c r="D57" s="6" t="n">
        <f aca="false">$B$7</f>
        <v>44886</v>
      </c>
      <c r="E57" s="7" t="n">
        <f aca="false">E56+0.1/24</f>
        <v>0.233333333333334</v>
      </c>
      <c r="F57" s="8" t="n">
        <f aca="false">D57+2415018.5+E57-$B$5/24</f>
        <v>2459904.69166667</v>
      </c>
      <c r="G57" s="9" t="n">
        <f aca="false">(F57-2451545)/36525</f>
        <v>0.228875884097656</v>
      </c>
      <c r="I57" s="0" t="n">
        <f aca="false">MOD(280.46646+G57*(36000.76983+G57*0.0003032),360)</f>
        <v>240.174498920349</v>
      </c>
      <c r="J57" s="0" t="n">
        <f aca="false">357.52911+G57*(35999.05029-0.0001537*G57)</f>
        <v>8596.84356374828</v>
      </c>
      <c r="K57" s="0" t="n">
        <f aca="false">0.016708634-G57*(0.000042037+0.0000001267*G57)</f>
        <v>0.0166990061073858</v>
      </c>
      <c r="L57" s="0" t="n">
        <f aca="false">SIN(RADIANS(J57))*(1.914602-G57*(0.004817+0.000014*G57))+SIN(RADIANS(2*J57))*(0.019993-0.000101*G57)+SIN(RADIANS(3*J57))*0.000289</f>
        <v>-1.32897074262283</v>
      </c>
      <c r="M57" s="0" t="n">
        <f aca="false">I57+L57</f>
        <v>238.845528177726</v>
      </c>
      <c r="N57" s="0" t="n">
        <f aca="false">J57+L57</f>
        <v>8595.51459300566</v>
      </c>
      <c r="O57" s="0" t="n">
        <f aca="false">(1.000001018*(1-K57*K57))/(1+K57*COS(RADIANS(N57)))</f>
        <v>0.987952139445713</v>
      </c>
      <c r="P57" s="0" t="n">
        <f aca="false">M57-0.00569-0.00478*SIN(RADIANS(125.04-1934.136*G57))</f>
        <v>238.836617297802</v>
      </c>
      <c r="Q57" s="0" t="n">
        <f aca="false">23+(26+((21.448-G57*(46.815+G57*(0.00059-G57*0.001813))))/60)/60</f>
        <v>23.4363147684212</v>
      </c>
      <c r="R57" s="0" t="n">
        <f aca="false">Q57+0.00256*COS(RADIANS(125.04-1934.136*G57))</f>
        <v>23.4382063310576</v>
      </c>
      <c r="S57" s="0" t="n">
        <f aca="false">DEGREES(ATAN2(COS(RADIANS(P57)),COS(RADIANS(R57))*SIN(RADIANS(P57))))</f>
        <v>-123.390225291905</v>
      </c>
      <c r="T57" s="0" t="n">
        <f aca="false">DEGREES(ASIN(SIN(RADIANS(R57))*SIN(RADIANS(P57))))</f>
        <v>-19.898876977027</v>
      </c>
      <c r="U57" s="0" t="n">
        <f aca="false">TAN(RADIANS(R57/2))*TAN(RADIANS(R57/2))</f>
        <v>0.0430304327530849</v>
      </c>
      <c r="V57" s="0" t="n">
        <f aca="false">4*DEGREES(U57*SIN(2*RADIANS(I57))-2*K57*SIN(RADIANS(J57))+4*K57*U57*SIN(RADIANS(J57))*COS(2*RADIANS(I57))-0.5*U57*U57*SIN(4*RADIANS(I57))-1.25*K57*K57*SIN(2*RADIANS(J57)))</f>
        <v>14.2382859308752</v>
      </c>
      <c r="W57" s="0" t="n">
        <f aca="false">DEGREES(ACOS(COS(RADIANS(90.833))/(COS(RADIANS($B$3))*COS(RADIANS(T57)))-TAN(RADIANS($B$3))*TAN(RADIANS(T57))))</f>
        <v>43.7913061304086</v>
      </c>
      <c r="X57" s="7" t="n">
        <f aca="false">(720-4*$B$4-V57+$B$5*60)/1440</f>
        <v>0.499848412548003</v>
      </c>
      <c r="Y57" s="7" t="n">
        <f aca="false">X57-W57*4/1440</f>
        <v>0.378205895519091</v>
      </c>
      <c r="Z57" s="7" t="n">
        <f aca="false">X57+W57*4/1440</f>
        <v>0.621490929576916</v>
      </c>
      <c r="AA57" s="10" t="n">
        <f aca="false">8*W57</f>
        <v>350.330449043269</v>
      </c>
      <c r="AB57" s="0" t="n">
        <f aca="false">MOD(E57*1440+V57+4*$B$4-60*$B$5,1440)</f>
        <v>336.218285930876</v>
      </c>
      <c r="AC57" s="0" t="n">
        <f aca="false">IF(AB57/4&lt;0,AB57/4+180,AB57/4-180)</f>
        <v>-95.9454285172811</v>
      </c>
      <c r="AD57" s="0" t="n">
        <f aca="false">DEGREES(ACOS(SIN(RADIANS($B$3))*SIN(RADIANS(T57))+COS(RADIANS($B$3))*COS(RADIANS(T57))*COS(RADIANS(AC57))))</f>
        <v>110.43230840667</v>
      </c>
      <c r="AE57" s="0" t="n">
        <f aca="false">90-AD57</f>
        <v>-20.4323084066701</v>
      </c>
      <c r="AF57" s="0" t="n">
        <f aca="false">IF(AE57&gt;85,0,IF(AE57&gt;5,58.1/TAN(RADIANS(AE57))-0.07/POWER(TAN(RADIANS(AE57)),3)+0.000086/POWER(TAN(RADIANS(AE57)),5),IF(AE57&gt;-0.575,1735+AE57*(-518.2+AE57*(103.4+AE57*(-12.79+AE57*0.711))),-20.772/TAN(RADIANS(AE57)))))/3600</f>
        <v>0.0154883246420245</v>
      </c>
      <c r="AG57" s="0" t="n">
        <f aca="false">AE57+AF57</f>
        <v>-20.4168200820281</v>
      </c>
      <c r="AH57" s="0" t="n">
        <f aca="false">IF(AC57&gt;0,MOD(DEGREES(ACOS(((SIN(RADIANS($B$3))*COS(RADIANS(AD57)))-SIN(RADIANS(T57)))/(COS(RADIANS($B$3))*SIN(RADIANS(AD57)))))+180,360),MOD(540-DEGREES(ACOS(((SIN(RADIANS($B$3))*COS(RADIANS(AD57)))-SIN(RADIANS(T57)))/(COS(RADIANS($B$3))*SIN(RADIANS(AD57))))),360))</f>
        <v>93.5992267225992</v>
      </c>
    </row>
    <row r="58" customFormat="false" ht="15" hidden="false" customHeight="false" outlineLevel="0" collapsed="false">
      <c r="D58" s="6" t="n">
        <f aca="false">$B$7</f>
        <v>44886</v>
      </c>
      <c r="E58" s="7" t="n">
        <f aca="false">E57+0.1/24</f>
        <v>0.2375</v>
      </c>
      <c r="F58" s="8" t="n">
        <f aca="false">D58+2415018.5+E58-$B$5/24</f>
        <v>2459904.69583333</v>
      </c>
      <c r="G58" s="9" t="n">
        <f aca="false">(F58-2451545)/36525</f>
        <v>0.228875998174765</v>
      </c>
      <c r="I58" s="0" t="n">
        <f aca="false">MOD(280.46646+G58*(36000.76983+G58*0.0003032),360)</f>
        <v>240.17860578412</v>
      </c>
      <c r="J58" s="0" t="n">
        <f aca="false">357.52911+G58*(35999.05029-0.0001537*G58)</f>
        <v>8596.84767041587</v>
      </c>
      <c r="K58" s="0" t="n">
        <f aca="false">0.016708634-G58*(0.000042037+0.0000001267*G58)</f>
        <v>0.0166990061025837</v>
      </c>
      <c r="L58" s="0" t="n">
        <f aca="false">SIN(RADIANS(J58))*(1.914602-G58*(0.004817+0.000014*G58))+SIN(RADIANS(2*J58))*(0.019993-0.000101*G58)+SIN(RADIANS(3*J58))*0.000289</f>
        <v>-1.32887054483167</v>
      </c>
      <c r="M58" s="0" t="n">
        <f aca="false">I58+L58</f>
        <v>238.849735239288</v>
      </c>
      <c r="N58" s="0" t="n">
        <f aca="false">J58+L58</f>
        <v>8595.51879987104</v>
      </c>
      <c r="O58" s="0" t="n">
        <f aca="false">(1.000001018*(1-K58*K58))/(1+K58*COS(RADIANS(N58)))</f>
        <v>0.987951300662185</v>
      </c>
      <c r="P58" s="0" t="n">
        <f aca="false">M58-0.00569-0.00478*SIN(RADIANS(125.04-1934.136*G58))</f>
        <v>238.840824372966</v>
      </c>
      <c r="Q58" s="0" t="n">
        <f aca="false">23+(26+((21.448-G58*(46.815+G58*(0.00059-G58*0.001813))))/60)/60</f>
        <v>23.4363147669377</v>
      </c>
      <c r="R58" s="0" t="n">
        <f aca="false">Q58+0.00256*COS(RADIANS(125.04-1934.136*G58))</f>
        <v>23.4382063362169</v>
      </c>
      <c r="S58" s="0" t="n">
        <f aca="false">DEGREES(ATAN2(COS(RADIANS(P58)),COS(RADIANS(R58))*SIN(RADIANS(P58))))</f>
        <v>-123.385859572942</v>
      </c>
      <c r="T58" s="0" t="n">
        <f aca="false">DEGREES(ASIN(SIN(RADIANS(R58))*SIN(RADIANS(P58))))</f>
        <v>-19.8997978671495</v>
      </c>
      <c r="U58" s="0" t="n">
        <f aca="false">TAN(RADIANS(R58/2))*TAN(RADIANS(R58/2))</f>
        <v>0.0430304327725677</v>
      </c>
      <c r="V58" s="0" t="n">
        <f aca="false">4*DEGREES(U58*SIN(2*RADIANS(I58))-2*K58*SIN(RADIANS(J58))+4*K58*U58*SIN(RADIANS(J58))*COS(2*RADIANS(I58))-0.5*U58*U58*SIN(4*RADIANS(I58))-1.25*K58*K58*SIN(2*RADIANS(J58)))</f>
        <v>14.2372386556949</v>
      </c>
      <c r="W58" s="0" t="n">
        <f aca="false">DEGREES(ACOS(COS(RADIANS(90.833))/(COS(RADIANS($B$3))*COS(RADIANS(T58)))-TAN(RADIANS($B$3))*TAN(RADIANS(T58))))</f>
        <v>43.7881726986635</v>
      </c>
      <c r="X58" s="7" t="n">
        <f aca="false">(720-4*$B$4-V58+$B$5*60)/1440</f>
        <v>0.499849139822434</v>
      </c>
      <c r="Y58" s="7" t="n">
        <f aca="false">X58-W58*4/1440</f>
        <v>0.378215326770591</v>
      </c>
      <c r="Z58" s="7" t="n">
        <f aca="false">X58+W58*4/1440</f>
        <v>0.621482952874277</v>
      </c>
      <c r="AA58" s="10" t="n">
        <f aca="false">8*W58</f>
        <v>350.305381589308</v>
      </c>
      <c r="AB58" s="0" t="n">
        <f aca="false">MOD(E58*1440+V58+4*$B$4-60*$B$5,1440)</f>
        <v>342.217238655695</v>
      </c>
      <c r="AC58" s="0" t="n">
        <f aca="false">IF(AB58/4&lt;0,AB58/4+180,AB58/4-180)</f>
        <v>-94.4456903360762</v>
      </c>
      <c r="AD58" s="0" t="n">
        <f aca="false">DEGREES(ACOS(SIN(RADIANS($B$3))*SIN(RADIANS(T58))+COS(RADIANS($B$3))*COS(RADIANS(T58))*COS(RADIANS(AC58))))</f>
        <v>109.788477425704</v>
      </c>
      <c r="AE58" s="0" t="n">
        <f aca="false">90-AD58</f>
        <v>-19.7884774257036</v>
      </c>
      <c r="AF58" s="0" t="n">
        <f aca="false">IF(AE58&gt;85,0,IF(AE58&gt;5,58.1/TAN(RADIANS(AE58))-0.07/POWER(TAN(RADIANS(AE58)),3)+0.000086/POWER(TAN(RADIANS(AE58)),5),IF(AE58&gt;-0.575,1735+AE58*(-518.2+AE58*(103.4+AE58*(-12.79+AE58*0.711))),-20.772/TAN(RADIANS(AE58)))))/3600</f>
        <v>0.0160369100842979</v>
      </c>
      <c r="AG58" s="0" t="n">
        <f aca="false">AE58+AF58</f>
        <v>-19.7724405156193</v>
      </c>
      <c r="AH58" s="0" t="n">
        <f aca="false">IF(AC58&gt;0,MOD(DEGREES(ACOS(((SIN(RADIANS($B$3))*COS(RADIANS(AD58)))-SIN(RADIANS(T58)))/(COS(RADIANS($B$3))*SIN(RADIANS(AD58)))))+180,360),MOD(540-DEGREES(ACOS(((SIN(RADIANS($B$3))*COS(RADIANS(AD58)))-SIN(RADIANS(T58)))/(COS(RADIANS($B$3))*SIN(RADIANS(AD58))))),360))</f>
        <v>94.9353349564915</v>
      </c>
    </row>
    <row r="59" customFormat="false" ht="15" hidden="false" customHeight="false" outlineLevel="0" collapsed="false">
      <c r="D59" s="6" t="n">
        <f aca="false">$B$7</f>
        <v>44886</v>
      </c>
      <c r="E59" s="7" t="n">
        <f aca="false">E58+0.1/24</f>
        <v>0.241666666666667</v>
      </c>
      <c r="F59" s="8" t="n">
        <f aca="false">D59+2415018.5+E59-$B$5/24</f>
        <v>2459904.7</v>
      </c>
      <c r="G59" s="9" t="n">
        <f aca="false">(F59-2451545)/36525</f>
        <v>0.228876112251887</v>
      </c>
      <c r="I59" s="0" t="n">
        <f aca="false">MOD(280.46646+G59*(36000.76983+G59*0.0003032),360)</f>
        <v>240.182712648351</v>
      </c>
      <c r="J59" s="0" t="n">
        <f aca="false">357.52911+G59*(35999.05029-0.0001537*G59)</f>
        <v>8596.85177708392</v>
      </c>
      <c r="K59" s="0" t="n">
        <f aca="false">0.016708634-G59*(0.000042037+0.0000001267*G59)</f>
        <v>0.0166990060977817</v>
      </c>
      <c r="L59" s="0" t="n">
        <f aca="false">SIN(RADIANS(J59))*(1.914602-G59*(0.004817+0.000014*G59))+SIN(RADIANS(2*J59))*(0.019993-0.000101*G59)+SIN(RADIANS(3*J59))*0.000289</f>
        <v>-1.32877033988622</v>
      </c>
      <c r="M59" s="0" t="n">
        <f aca="false">I59+L59</f>
        <v>238.853942308465</v>
      </c>
      <c r="N59" s="0" t="n">
        <f aca="false">J59+L59</f>
        <v>8595.52300674403</v>
      </c>
      <c r="O59" s="0" t="n">
        <f aca="false">(1.000001018*(1-K59*K59))/(1+K59*COS(RADIANS(N59)))</f>
        <v>0.987950461941273</v>
      </c>
      <c r="P59" s="0" t="n">
        <f aca="false">M59-0.00569-0.00478*SIN(RADIANS(125.04-1934.136*G59))</f>
        <v>238.845031455743</v>
      </c>
      <c r="Q59" s="0" t="n">
        <f aca="false">23+(26+((21.448-G59*(46.815+G59*(0.00059-G59*0.001813))))/60)/60</f>
        <v>23.4363147654542</v>
      </c>
      <c r="R59" s="0" t="n">
        <f aca="false">Q59+0.00256*COS(RADIANS(125.04-1934.136*G59))</f>
        <v>23.4382063413761</v>
      </c>
      <c r="S59" s="0" t="n">
        <f aca="false">DEGREES(ATAN2(COS(RADIANS(P59)),COS(RADIANS(R59))*SIN(RADIANS(P59))))</f>
        <v>-123.38149379528</v>
      </c>
      <c r="T59" s="0" t="n">
        <f aca="false">DEGREES(ASIN(SIN(RADIANS(R59))*SIN(RADIANS(P59))))</f>
        <v>-19.9007186524719</v>
      </c>
      <c r="U59" s="0" t="n">
        <f aca="false">TAN(RADIANS(R59/2))*TAN(RADIANS(R59/2))</f>
        <v>0.0430304327920504</v>
      </c>
      <c r="V59" s="0" t="n">
        <f aca="false">4*DEGREES(U59*SIN(2*RADIANS(I59))-2*K59*SIN(RADIANS(J59))+4*K59*U59*SIN(RADIANS(J59))*COS(2*RADIANS(I59))-0.5*U59*U59*SIN(4*RADIANS(I59))-1.25*K59*K59*SIN(2*RADIANS(J59)))</f>
        <v>14.236191147397</v>
      </c>
      <c r="W59" s="0" t="n">
        <f aca="false">DEGREES(ACOS(COS(RADIANS(90.833))/(COS(RADIANS($B$3))*COS(RADIANS(T59)))-TAN(RADIANS($B$3))*TAN(RADIANS(T59))))</f>
        <v>43.7850394090716</v>
      </c>
      <c r="X59" s="7" t="n">
        <f aca="false">(720-4*$B$4-V59+$B$5*60)/1440</f>
        <v>0.499849867258752</v>
      </c>
      <c r="Y59" s="7" t="n">
        <f aca="false">X59-W59*4/1440</f>
        <v>0.378224757789109</v>
      </c>
      <c r="Z59" s="7" t="n">
        <f aca="false">X59+W59*4/1440</f>
        <v>0.621474976728395</v>
      </c>
      <c r="AA59" s="10" t="n">
        <f aca="false">8*W59</f>
        <v>350.280315272572</v>
      </c>
      <c r="AB59" s="0" t="n">
        <f aca="false">MOD(E59*1440+V59+4*$B$4-60*$B$5,1440)</f>
        <v>348.216191147398</v>
      </c>
      <c r="AC59" s="0" t="n">
        <f aca="false">IF(AB59/4&lt;0,AB59/4+180,AB59/4-180)</f>
        <v>-92.9459522131506</v>
      </c>
      <c r="AD59" s="0" t="n">
        <f aca="false">DEGREES(ACOS(SIN(RADIANS($B$3))*SIN(RADIANS(T59))+COS(RADIANS($B$3))*COS(RADIANS(T59))*COS(RADIANS(AC59))))</f>
        <v>109.145941060697</v>
      </c>
      <c r="AE59" s="0" t="n">
        <f aca="false">90-AD59</f>
        <v>-19.1459410606973</v>
      </c>
      <c r="AF59" s="0" t="n">
        <f aca="false">IF(AE59&gt;85,0,IF(AE59&gt;5,58.1/TAN(RADIANS(AE59))-0.07/POWER(TAN(RADIANS(AE59)),3)+0.000086/POWER(TAN(RADIANS(AE59)),5),IF(AE59&gt;-0.575,1735+AE59*(-518.2+AE59*(103.4+AE59*(-12.79+AE59*0.711))),-20.772/TAN(RADIANS(AE59)))))/3600</f>
        <v>0.0166196560486179</v>
      </c>
      <c r="AG59" s="0" t="n">
        <f aca="false">AE59+AF59</f>
        <v>-19.1293214046487</v>
      </c>
      <c r="AH59" s="0" t="n">
        <f aca="false">IF(AC59&gt;0,MOD(DEGREES(ACOS(((SIN(RADIANS($B$3))*COS(RADIANS(AD59)))-SIN(RADIANS(T59)))/(COS(RADIANS($B$3))*SIN(RADIANS(AD59)))))+180,360),MOD(540-DEGREES(ACOS(((SIN(RADIANS($B$3))*COS(RADIANS(AD59)))-SIN(RADIANS(T59)))/(COS(RADIANS($B$3))*SIN(RADIANS(AD59))))),360))</f>
        <v>96.2667508834189</v>
      </c>
    </row>
    <row r="60" customFormat="false" ht="15" hidden="false" customHeight="false" outlineLevel="0" collapsed="false">
      <c r="D60" s="6" t="n">
        <f aca="false">$B$7</f>
        <v>44886</v>
      </c>
      <c r="E60" s="7" t="n">
        <f aca="false">E59+0.1/24</f>
        <v>0.245833333333334</v>
      </c>
      <c r="F60" s="8" t="n">
        <f aca="false">D60+2415018.5+E60-$B$5/24</f>
        <v>2459904.70416667</v>
      </c>
      <c r="G60" s="9" t="n">
        <f aca="false">(F60-2451545)/36525</f>
        <v>0.228876226328997</v>
      </c>
      <c r="I60" s="0" t="n">
        <f aca="false">MOD(280.46646+G60*(36000.76983+G60*0.0003032),360)</f>
        <v>240.186819512124</v>
      </c>
      <c r="J60" s="0" t="n">
        <f aca="false">357.52911+G60*(35999.05029-0.0001537*G60)</f>
        <v>8596.8558837515</v>
      </c>
      <c r="K60" s="0" t="n">
        <f aca="false">0.016708634-G60*(0.000042037+0.0000001267*G60)</f>
        <v>0.0166990060929796</v>
      </c>
      <c r="L60" s="0" t="n">
        <f aca="false">SIN(RADIANS(J60))*(1.914602-G60*(0.004817+0.000014*G60))+SIN(RADIANS(2*J60))*(0.019993-0.000101*G60)+SIN(RADIANS(3*J60))*0.000289</f>
        <v>-1.3286701278095</v>
      </c>
      <c r="M60" s="0" t="n">
        <f aca="false">I60+L60</f>
        <v>238.858149384315</v>
      </c>
      <c r="N60" s="0" t="n">
        <f aca="false">J60+L60</f>
        <v>8595.52721362369</v>
      </c>
      <c r="O60" s="0" t="n">
        <f aca="false">(1.000001018*(1-K60*K60))/(1+K60*COS(RADIANS(N60)))</f>
        <v>0.987949623283171</v>
      </c>
      <c r="P60" s="0" t="n">
        <f aca="false">M60-0.00569-0.00478*SIN(RADIANS(125.04-1934.136*G60))</f>
        <v>238.849238545194</v>
      </c>
      <c r="Q60" s="0" t="n">
        <f aca="false">23+(26+((21.448-G60*(46.815+G60*(0.00059-G60*0.001813))))/60)/60</f>
        <v>23.4363147639707</v>
      </c>
      <c r="R60" s="0" t="n">
        <f aca="false">Q60+0.00256*COS(RADIANS(125.04-1934.136*G60))</f>
        <v>23.4382063465354</v>
      </c>
      <c r="S60" s="0" t="n">
        <f aca="false">DEGREES(ATAN2(COS(RADIANS(P60)),COS(RADIANS(R60))*SIN(RADIANS(P60))))</f>
        <v>-123.377127959897</v>
      </c>
      <c r="T60" s="0" t="n">
        <f aca="false">DEGREES(ASIN(SIN(RADIANS(R60))*SIN(RADIANS(P60))))</f>
        <v>-19.901639332781</v>
      </c>
      <c r="U60" s="0" t="n">
        <f aca="false">TAN(RADIANS(R60/2))*TAN(RADIANS(R60/2))</f>
        <v>0.043030432811533</v>
      </c>
      <c r="V60" s="0" t="n">
        <f aca="false">4*DEGREES(U60*SIN(2*RADIANS(I60))-2*K60*SIN(RADIANS(J60))+4*K60*U60*SIN(RADIANS(J60))*COS(2*RADIANS(I60))-0.5*U60*U60*SIN(4*RADIANS(I60))-1.25*K60*K60*SIN(2*RADIANS(J60)))</f>
        <v>14.2351434062296</v>
      </c>
      <c r="W60" s="0" t="n">
        <f aca="false">DEGREES(ACOS(COS(RADIANS(90.833))/(COS(RADIANS($B$3))*COS(RADIANS(T60)))-TAN(RADIANS($B$3))*TAN(RADIANS(T60))))</f>
        <v>43.7819062623833</v>
      </c>
      <c r="X60" s="7" t="n">
        <f aca="false">(720-4*$B$4-V60+$B$5*60)/1440</f>
        <v>0.499850594856785</v>
      </c>
      <c r="Y60" s="7" t="n">
        <f aca="false">X60-W60*4/1440</f>
        <v>0.378234188572387</v>
      </c>
      <c r="Z60" s="7" t="n">
        <f aca="false">X60+W60*4/1440</f>
        <v>0.621467001141183</v>
      </c>
      <c r="AA60" s="10" t="n">
        <f aca="false">8*W60</f>
        <v>350.255250099067</v>
      </c>
      <c r="AB60" s="0" t="n">
        <f aca="false">MOD(E60*1440+V60+4*$B$4-60*$B$5,1440)</f>
        <v>354.21514340623</v>
      </c>
      <c r="AC60" s="0" t="n">
        <f aca="false">IF(AB60/4&lt;0,AB60/4+180,AB60/4-180)</f>
        <v>-91.4462141484425</v>
      </c>
      <c r="AD60" s="0" t="n">
        <f aca="false">DEGREES(ACOS(SIN(RADIANS($B$3))*SIN(RADIANS(T60))+COS(RADIANS($B$3))*COS(RADIANS(T60))*COS(RADIANS(AC60))))</f>
        <v>108.505041910982</v>
      </c>
      <c r="AE60" s="0" t="n">
        <f aca="false">90-AD60</f>
        <v>-18.5050419109819</v>
      </c>
      <c r="AF60" s="0" t="n">
        <f aca="false">IF(AE60&gt;85,0,IF(AE60&gt;5,58.1/TAN(RADIANS(AE60))-0.07/POWER(TAN(RADIANS(AE60)),3)+0.000086/POWER(TAN(RADIANS(AE60)),5),IF(AE60&gt;-0.575,1735+AE60*(-518.2+AE60*(103.4+AE60*(-12.79+AE60*0.711))),-20.772/TAN(RADIANS(AE60)))))/3600</f>
        <v>0.017239670485558</v>
      </c>
      <c r="AG60" s="0" t="n">
        <f aca="false">AE60+AF60</f>
        <v>-18.4878022404963</v>
      </c>
      <c r="AH60" s="0" t="n">
        <f aca="false">IF(AC60&gt;0,MOD(DEGREES(ACOS(((SIN(RADIANS($B$3))*COS(RADIANS(AD60)))-SIN(RADIANS(T60)))/(COS(RADIANS($B$3))*SIN(RADIANS(AD60)))))+180,360),MOD(540-DEGREES(ACOS(((SIN(RADIANS($B$3))*COS(RADIANS(AD60)))-SIN(RADIANS(T60)))/(COS(RADIANS($B$3))*SIN(RADIANS(AD60))))),360))</f>
        <v>97.5938732814657</v>
      </c>
    </row>
    <row r="61" customFormat="false" ht="15" hidden="false" customHeight="false" outlineLevel="0" collapsed="false">
      <c r="D61" s="6" t="n">
        <f aca="false">$B$7</f>
        <v>44886</v>
      </c>
      <c r="E61" s="7" t="n">
        <f aca="false">E60+0.1/24</f>
        <v>0.25</v>
      </c>
      <c r="F61" s="8" t="n">
        <f aca="false">D61+2415018.5+E61-$B$5/24</f>
        <v>2459904.70833333</v>
      </c>
      <c r="G61" s="9" t="n">
        <f aca="false">(F61-2451545)/36525</f>
        <v>0.228876340406119</v>
      </c>
      <c r="I61" s="0" t="n">
        <f aca="false">MOD(280.46646+G61*(36000.76983+G61*0.0003032),360)</f>
        <v>240.190926376354</v>
      </c>
      <c r="J61" s="0" t="n">
        <f aca="false">357.52911+G61*(35999.05029-0.0001537*G61)</f>
        <v>8596.85999041955</v>
      </c>
      <c r="K61" s="0" t="n">
        <f aca="false">0.016708634-G61*(0.000042037+0.0000001267*G61)</f>
        <v>0.0166990060881775</v>
      </c>
      <c r="L61" s="0" t="n">
        <f aca="false">SIN(RADIANS(J61))*(1.914602-G61*(0.004817+0.000014*G61))+SIN(RADIANS(2*J61))*(0.019993-0.000101*G61)+SIN(RADIANS(3*J61))*0.000289</f>
        <v>-1.32856990857952</v>
      </c>
      <c r="M61" s="0" t="n">
        <f aca="false">I61+L61</f>
        <v>238.862356467774</v>
      </c>
      <c r="N61" s="0" t="n">
        <f aca="false">J61+L61</f>
        <v>8595.53142051097</v>
      </c>
      <c r="O61" s="0" t="n">
        <f aca="false">(1.000001018*(1-K61*K61))/(1+K61*COS(RADIANS(N61)))</f>
        <v>0.987948784687694</v>
      </c>
      <c r="P61" s="0" t="n">
        <f aca="false">M61-0.00569-0.00478*SIN(RADIANS(125.04-1934.136*G61))</f>
        <v>238.853445642255</v>
      </c>
      <c r="Q61" s="0" t="n">
        <f aca="false">23+(26+((21.448-G61*(46.815+G61*(0.00059-G61*0.001813))))/60)/60</f>
        <v>23.4363147624873</v>
      </c>
      <c r="R61" s="0" t="n">
        <f aca="false">Q61+0.00256*COS(RADIANS(125.04-1934.136*G61))</f>
        <v>23.4382063516946</v>
      </c>
      <c r="S61" s="0" t="n">
        <f aca="false">DEGREES(ATAN2(COS(RADIANS(P61)),COS(RADIANS(R61))*SIN(RADIANS(P61))))</f>
        <v>-123.372762065825</v>
      </c>
      <c r="T61" s="0" t="n">
        <f aca="false">DEGREES(ASIN(SIN(RADIANS(R61))*SIN(RADIANS(P61))))</f>
        <v>-19.9025599082746</v>
      </c>
      <c r="U61" s="0" t="n">
        <f aca="false">TAN(RADIANS(R61/2))*TAN(RADIANS(R61/2))</f>
        <v>0.0430304328310155</v>
      </c>
      <c r="V61" s="0" t="n">
        <f aca="false">4*DEGREES(U61*SIN(2*RADIANS(I61))-2*K61*SIN(RADIANS(J61))+4*K61*U61*SIN(RADIANS(J61))*COS(2*RADIANS(I61))-0.5*U61*U61*SIN(4*RADIANS(I61))-1.25*K61*K61*SIN(2*RADIANS(J61)))</f>
        <v>14.234095431972</v>
      </c>
      <c r="W61" s="0" t="n">
        <f aca="false">DEGREES(ACOS(COS(RADIANS(90.833))/(COS(RADIANS($B$3))*COS(RADIANS(T61)))-TAN(RADIANS($B$3))*TAN(RADIANS(T61))))</f>
        <v>43.7787732579503</v>
      </c>
      <c r="X61" s="7" t="n">
        <f aca="false">(720-4*$B$4-V61+$B$5*60)/1440</f>
        <v>0.499851322616686</v>
      </c>
      <c r="Y61" s="7" t="n">
        <f aca="false">X61-W61*4/1440</f>
        <v>0.37824361912238</v>
      </c>
      <c r="Z61" s="7" t="n">
        <f aca="false">X61+W61*4/1440</f>
        <v>0.621459026110992</v>
      </c>
      <c r="AA61" s="10" t="n">
        <f aca="false">8*W61</f>
        <v>350.230186063602</v>
      </c>
      <c r="AB61" s="0" t="n">
        <f aca="false">MOD(E61*1440+V61+4*$B$4-60*$B$5,1440)</f>
        <v>360.214095431973</v>
      </c>
      <c r="AC61" s="0" t="n">
        <f aca="false">IF(AB61/4&lt;0,AB61/4+180,AB61/4-180)</f>
        <v>-89.9464761420069</v>
      </c>
      <c r="AD61" s="0" t="n">
        <f aca="false">DEGREES(ACOS(SIN(RADIANS($B$3))*SIN(RADIANS(T61))+COS(RADIANS($B$3))*COS(RADIANS(T61))*COS(RADIANS(AC61))))</f>
        <v>107.866118826561</v>
      </c>
      <c r="AE61" s="0" t="n">
        <f aca="false">90-AD61</f>
        <v>-17.866118826561</v>
      </c>
      <c r="AF61" s="0" t="n">
        <f aca="false">IF(AE61&gt;85,0,IF(AE61&gt;5,58.1/TAN(RADIANS(AE61))-0.07/POWER(TAN(RADIANS(AE61)),3)+0.000086/POWER(TAN(RADIANS(AE61)),5),IF(AE61&gt;-0.575,1735+AE61*(-518.2+AE61*(103.4+AE61*(-12.79+AE61*0.711))),-20.772/TAN(RADIANS(AE61)))))/3600</f>
        <v>0.0179004483140869</v>
      </c>
      <c r="AG61" s="0" t="n">
        <f aca="false">AE61+AF61</f>
        <v>-17.8482183782469</v>
      </c>
      <c r="AH61" s="0" t="n">
        <f aca="false">IF(AC61&gt;0,MOD(DEGREES(ACOS(((SIN(RADIANS($B$3))*COS(RADIANS(AD61)))-SIN(RADIANS(T61)))/(COS(RADIANS($B$3))*SIN(RADIANS(AD61)))))+180,360),MOD(540-DEGREES(ACOS(((SIN(RADIANS($B$3))*COS(RADIANS(AD61)))-SIN(RADIANS(T61)))/(COS(RADIANS($B$3))*SIN(RADIANS(AD61))))),360))</f>
        <v>98.9170929010924</v>
      </c>
    </row>
    <row r="62" customFormat="false" ht="15" hidden="false" customHeight="false" outlineLevel="0" collapsed="false">
      <c r="D62" s="6" t="n">
        <f aca="false">$B$7</f>
        <v>44886</v>
      </c>
      <c r="E62" s="7" t="n">
        <f aca="false">E61+0.1/24</f>
        <v>0.254166666666667</v>
      </c>
      <c r="F62" s="8" t="n">
        <f aca="false">D62+2415018.5+E62-$B$5/24</f>
        <v>2459904.7125</v>
      </c>
      <c r="G62" s="9" t="n">
        <f aca="false">(F62-2451545)/36525</f>
        <v>0.228876454483241</v>
      </c>
      <c r="I62" s="0" t="n">
        <f aca="false">MOD(280.46646+G62*(36000.76983+G62*0.0003032),360)</f>
        <v>240.195033240585</v>
      </c>
      <c r="J62" s="0" t="n">
        <f aca="false">357.52911+G62*(35999.05029-0.0001537*G62)</f>
        <v>8596.8640970876</v>
      </c>
      <c r="K62" s="0" t="n">
        <f aca="false">0.016708634-G62*(0.000042037+0.0000001267*G62)</f>
        <v>0.0166990060833754</v>
      </c>
      <c r="L62" s="0" t="n">
        <f aca="false">SIN(RADIANS(J62))*(1.914602-G62*(0.004817+0.000014*G62))+SIN(RADIANS(2*J62))*(0.019993-0.000101*G62)+SIN(RADIANS(3*J62))*0.000289</f>
        <v>-1.32846968220806</v>
      </c>
      <c r="M62" s="0" t="n">
        <f aca="false">I62+L62</f>
        <v>238.866563558377</v>
      </c>
      <c r="N62" s="0" t="n">
        <f aca="false">J62+L62</f>
        <v>8595.53562740539</v>
      </c>
      <c r="O62" s="0" t="n">
        <f aca="false">(1.000001018*(1-K62*K62))/(1+K62*COS(RADIANS(N62)))</f>
        <v>0.987947946154942</v>
      </c>
      <c r="P62" s="0" t="n">
        <f aca="false">M62-0.00569-0.00478*SIN(RADIANS(125.04-1934.136*G62))</f>
        <v>238.857652746459</v>
      </c>
      <c r="Q62" s="0" t="n">
        <f aca="false">23+(26+((21.448-G62*(46.815+G62*(0.00059-G62*0.001813))))/60)/60</f>
        <v>23.4363147610038</v>
      </c>
      <c r="R62" s="0" t="n">
        <f aca="false">Q62+0.00256*COS(RADIANS(125.04-1934.136*G62))</f>
        <v>23.4382063568537</v>
      </c>
      <c r="S62" s="0" t="n">
        <f aca="false">DEGREES(ATAN2(COS(RADIANS(P62)),COS(RADIANS(R62))*SIN(RADIANS(P62))))</f>
        <v>-123.36839611355</v>
      </c>
      <c r="T62" s="0" t="n">
        <f aca="false">DEGREES(ASIN(SIN(RADIANS(R62))*SIN(RADIANS(P62))))</f>
        <v>-19.9034803788437</v>
      </c>
      <c r="U62" s="0" t="n">
        <f aca="false">TAN(RADIANS(R62/2))*TAN(RADIANS(R62/2))</f>
        <v>0.0430304328504979</v>
      </c>
      <c r="V62" s="0" t="n">
        <f aca="false">4*DEGREES(U62*SIN(2*RADIANS(I62))-2*K62*SIN(RADIANS(J62))+4*K62*U62*SIN(RADIANS(J62))*COS(2*RADIANS(I62))-0.5*U62*U62*SIN(4*RADIANS(I62))-1.25*K62*K62*SIN(2*RADIANS(J62)))</f>
        <v>14.2330472247544</v>
      </c>
      <c r="W62" s="0" t="n">
        <f aca="false">DEGREES(ACOS(COS(RADIANS(90.833))/(COS(RADIANS($B$3))*COS(RADIANS(T62)))-TAN(RADIANS($B$3))*TAN(RADIANS(T62))))</f>
        <v>43.7756403961691</v>
      </c>
      <c r="X62" s="7" t="n">
        <f aca="false">(720-4*$B$4-V62+$B$5*60)/1440</f>
        <v>0.499852050538365</v>
      </c>
      <c r="Y62" s="7" t="n">
        <f aca="false">X62-W62*4/1440</f>
        <v>0.378253049437895</v>
      </c>
      <c r="Z62" s="7" t="n">
        <f aca="false">X62+W62*4/1440</f>
        <v>0.621451051638835</v>
      </c>
      <c r="AA62" s="10" t="n">
        <f aca="false">8*W62</f>
        <v>350.205123169353</v>
      </c>
      <c r="AB62" s="0" t="n">
        <f aca="false">MOD(E62*1440+V62+4*$B$4-60*$B$5,1440)</f>
        <v>366.213047224755</v>
      </c>
      <c r="AC62" s="0" t="n">
        <f aca="false">IF(AB62/4&lt;0,AB62/4+180,AB62/4-180)</f>
        <v>-88.4467381938113</v>
      </c>
      <c r="AD62" s="0" t="n">
        <f aca="false">DEGREES(ACOS(SIN(RADIANS($B$3))*SIN(RADIANS(T62))+COS(RADIANS($B$3))*COS(RADIANS(T62))*COS(RADIANS(AC62))))</f>
        <v>107.229507144618</v>
      </c>
      <c r="AE62" s="0" t="n">
        <f aca="false">90-AD62</f>
        <v>-17.2295071446184</v>
      </c>
      <c r="AF62" s="0" t="n">
        <f aca="false">IF(AE62&gt;85,0,IF(AE62&gt;5,58.1/TAN(RADIANS(AE62))-0.07/POWER(TAN(RADIANS(AE62)),3)+0.000086/POWER(TAN(RADIANS(AE62)),5),IF(AE62&gt;-0.575,1735+AE62*(-518.2+AE62*(103.4+AE62*(-12.79+AE62*0.711))),-20.772/TAN(RADIANS(AE62)))))/3600</f>
        <v>0.0186059323320886</v>
      </c>
      <c r="AG62" s="0" t="n">
        <f aca="false">AE62+AF62</f>
        <v>-17.2109012122863</v>
      </c>
      <c r="AH62" s="0" t="n">
        <f aca="false">IF(AC62&gt;0,MOD(DEGREES(ACOS(((SIN(RADIANS($B$3))*COS(RADIANS(AD62)))-SIN(RADIANS(T62)))/(COS(RADIANS($B$3))*SIN(RADIANS(AD62)))))+180,360),MOD(540-DEGREES(ACOS(((SIN(RADIANS($B$3))*COS(RADIANS(AD62)))-SIN(RADIANS(T62)))/(COS(RADIANS($B$3))*SIN(RADIANS(AD62))))),360))</f>
        <v>100.236792275</v>
      </c>
    </row>
    <row r="63" customFormat="false" ht="15" hidden="false" customHeight="false" outlineLevel="0" collapsed="false">
      <c r="D63" s="6" t="n">
        <f aca="false">$B$7</f>
        <v>44886</v>
      </c>
      <c r="E63" s="7" t="n">
        <f aca="false">E62+0.1/24</f>
        <v>0.258333333333334</v>
      </c>
      <c r="F63" s="8" t="n">
        <f aca="false">D63+2415018.5+E63-$B$5/24</f>
        <v>2459904.71666667</v>
      </c>
      <c r="G63" s="9" t="n">
        <f aca="false">(F63-2451545)/36525</f>
        <v>0.22887656856035</v>
      </c>
      <c r="I63" s="0" t="n">
        <f aca="false">MOD(280.46646+G63*(36000.76983+G63*0.0003032),360)</f>
        <v>240.199140104356</v>
      </c>
      <c r="J63" s="0" t="n">
        <f aca="false">357.52911+G63*(35999.05029-0.0001537*G63)</f>
        <v>8596.86820375518</v>
      </c>
      <c r="K63" s="0" t="n">
        <f aca="false">0.016708634-G63*(0.000042037+0.0000001267*G63)</f>
        <v>0.0166990060785734</v>
      </c>
      <c r="L63" s="0" t="n">
        <f aca="false">SIN(RADIANS(J63))*(1.914602-G63*(0.004817+0.000014*G63))+SIN(RADIANS(2*J63))*(0.019993-0.000101*G63)+SIN(RADIANS(3*J63))*0.000289</f>
        <v>-1.32836944870691</v>
      </c>
      <c r="M63" s="0" t="n">
        <f aca="false">I63+L63</f>
        <v>238.870770655649</v>
      </c>
      <c r="N63" s="0" t="n">
        <f aca="false">J63+L63</f>
        <v>8595.53983430648</v>
      </c>
      <c r="O63" s="0" t="n">
        <f aca="false">(1.000001018*(1-K63*K63))/(1+K63*COS(RADIANS(N63)))</f>
        <v>0.987947107685012</v>
      </c>
      <c r="P63" s="0" t="n">
        <f aca="false">M63-0.00569-0.00478*SIN(RADIANS(125.04-1934.136*G63))</f>
        <v>238.861859857332</v>
      </c>
      <c r="Q63" s="0" t="n">
        <f aca="false">23+(26+((21.448-G63*(46.815+G63*(0.00059-G63*0.001813))))/60)/60</f>
        <v>23.4363147595203</v>
      </c>
      <c r="R63" s="0" t="n">
        <f aca="false">Q63+0.00256*COS(RADIANS(125.04-1934.136*G63))</f>
        <v>23.4382063620129</v>
      </c>
      <c r="S63" s="0" t="n">
        <f aca="false">DEGREES(ATAN2(COS(RADIANS(P63)),COS(RADIANS(R63))*SIN(RADIANS(P63))))</f>
        <v>-123.364030103565</v>
      </c>
      <c r="T63" s="0" t="n">
        <f aca="false">DEGREES(ASIN(SIN(RADIANS(R63))*SIN(RADIANS(P63))))</f>
        <v>-19.9044007443773</v>
      </c>
      <c r="U63" s="0" t="n">
        <f aca="false">TAN(RADIANS(R63/2))*TAN(RADIANS(R63/2))</f>
        <v>0.0430304328699801</v>
      </c>
      <c r="V63" s="0" t="n">
        <f aca="false">4*DEGREES(U63*SIN(2*RADIANS(I63))-2*K63*SIN(RADIANS(J63))+4*K63*U63*SIN(RADIANS(J63))*COS(2*RADIANS(I63))-0.5*U63*U63*SIN(4*RADIANS(I63))-1.25*K63*K63*SIN(2*RADIANS(J63)))</f>
        <v>14.2319987847082</v>
      </c>
      <c r="W63" s="0" t="n">
        <f aca="false">DEGREES(ACOS(COS(RADIANS(90.833))/(COS(RADIANS($B$3))*COS(RADIANS(T63)))-TAN(RADIANS($B$3))*TAN(RADIANS(T63))))</f>
        <v>43.7725076774419</v>
      </c>
      <c r="X63" s="7" t="n">
        <f aca="false">(720-4*$B$4-V63+$B$5*60)/1440</f>
        <v>0.49985277862173</v>
      </c>
      <c r="Y63" s="7" t="n">
        <f aca="false">X63-W63*4/1440</f>
        <v>0.378262479517725</v>
      </c>
      <c r="Z63" s="7" t="n">
        <f aca="false">X63+W63*4/1440</f>
        <v>0.621443077725736</v>
      </c>
      <c r="AA63" s="10" t="n">
        <f aca="false">8*W63</f>
        <v>350.180061419535</v>
      </c>
      <c r="AB63" s="0" t="n">
        <f aca="false">MOD(E63*1440+V63+4*$B$4-60*$B$5,1440)</f>
        <v>372.211998784709</v>
      </c>
      <c r="AC63" s="0" t="n">
        <f aca="false">IF(AB63/4&lt;0,AB63/4+180,AB63/4-180)</f>
        <v>-86.9470003038229</v>
      </c>
      <c r="AD63" s="0" t="n">
        <f aca="false">DEGREES(ACOS(SIN(RADIANS($B$3))*SIN(RADIANS(T63))+COS(RADIANS($B$3))*COS(RADIANS(T63))*COS(RADIANS(AC63))))</f>
        <v>106.595538915983</v>
      </c>
      <c r="AE63" s="0" t="n">
        <f aca="false">90-AD63</f>
        <v>-16.5955389159828</v>
      </c>
      <c r="AF63" s="0" t="n">
        <f aca="false">IF(AE63&gt;85,0,IF(AE63&gt;5,58.1/TAN(RADIANS(AE63))-0.07/POWER(TAN(RADIANS(AE63)),3)+0.000086/POWER(TAN(RADIANS(AE63)),5),IF(AE63&gt;-0.575,1735+AE63*(-518.2+AE63*(103.4+AE63*(-12.79+AE63*0.711))),-20.772/TAN(RADIANS(AE63)))))/3600</f>
        <v>0.0193605859884439</v>
      </c>
      <c r="AG63" s="0" t="n">
        <f aca="false">AE63+AF63</f>
        <v>-16.5761783299943</v>
      </c>
      <c r="AH63" s="0" t="n">
        <f aca="false">IF(AC63&gt;0,MOD(DEGREES(ACOS(((SIN(RADIANS($B$3))*COS(RADIANS(AD63)))-SIN(RADIANS(T63)))/(COS(RADIANS($B$3))*SIN(RADIANS(AD63)))))+180,360),MOD(540-DEGREES(ACOS(((SIN(RADIANS($B$3))*COS(RADIANS(AD63)))-SIN(RADIANS(T63)))/(COS(RADIANS($B$3))*SIN(RADIANS(AD63))))),360))</f>
        <v>101.553345545911</v>
      </c>
    </row>
    <row r="64" customFormat="false" ht="15" hidden="false" customHeight="false" outlineLevel="0" collapsed="false">
      <c r="D64" s="6" t="n">
        <f aca="false">$B$7</f>
        <v>44886</v>
      </c>
      <c r="E64" s="7" t="n">
        <f aca="false">E63+0.1/24</f>
        <v>0.2625</v>
      </c>
      <c r="F64" s="8" t="n">
        <f aca="false">D64+2415018.5+E64-$B$5/24</f>
        <v>2459904.72083333</v>
      </c>
      <c r="G64" s="9" t="n">
        <f aca="false">(F64-2451545)/36525</f>
        <v>0.228876682637472</v>
      </c>
      <c r="I64" s="0" t="n">
        <f aca="false">MOD(280.46646+G64*(36000.76983+G64*0.0003032),360)</f>
        <v>240.203246968587</v>
      </c>
      <c r="J64" s="0" t="n">
        <f aca="false">357.52911+G64*(35999.05029-0.0001537*G64)</f>
        <v>8596.87231042323</v>
      </c>
      <c r="K64" s="0" t="n">
        <f aca="false">0.016708634-G64*(0.000042037+0.0000001267*G64)</f>
        <v>0.0166990060737713</v>
      </c>
      <c r="L64" s="0" t="n">
        <f aca="false">SIN(RADIANS(J64))*(1.914602-G64*(0.004817+0.000014*G64))+SIN(RADIANS(2*J64))*(0.019993-0.000101*G64)+SIN(RADIANS(3*J64))*0.000289</f>
        <v>-1.32826920805398</v>
      </c>
      <c r="M64" s="0" t="n">
        <f aca="false">I64+L64</f>
        <v>238.874977760533</v>
      </c>
      <c r="N64" s="0" t="n">
        <f aca="false">J64+L64</f>
        <v>8595.54404121518</v>
      </c>
      <c r="O64" s="0" t="n">
        <f aca="false">(1.000001018*(1-K64*K64))/(1+K64*COS(RADIANS(N64)))</f>
        <v>0.987946269277723</v>
      </c>
      <c r="P64" s="0" t="n">
        <f aca="false">M64-0.00569-0.00478*SIN(RADIANS(125.04-1934.136*G64))</f>
        <v>238.866066975818</v>
      </c>
      <c r="Q64" s="0" t="n">
        <f aca="false">23+(26+((21.448-G64*(46.815+G64*(0.00059-G64*0.001813))))/60)/60</f>
        <v>23.4363147580368</v>
      </c>
      <c r="R64" s="0" t="n">
        <f aca="false">Q64+0.00256*COS(RADIANS(125.04-1934.136*G64))</f>
        <v>23.438206367172</v>
      </c>
      <c r="S64" s="0" t="n">
        <f aca="false">DEGREES(ATAN2(COS(RADIANS(P64)),COS(RADIANS(R64))*SIN(RADIANS(P64))))</f>
        <v>-123.359664034896</v>
      </c>
      <c r="T64" s="0" t="n">
        <f aca="false">DEGREES(ASIN(SIN(RADIANS(R64))*SIN(RADIANS(P64))))</f>
        <v>-19.9053210050746</v>
      </c>
      <c r="U64" s="0" t="n">
        <f aca="false">TAN(RADIANS(R64/2))*TAN(RADIANS(R64/2))</f>
        <v>0.0430304328894623</v>
      </c>
      <c r="V64" s="0" t="n">
        <f aca="false">4*DEGREES(U64*SIN(2*RADIANS(I64))-2*K64*SIN(RADIANS(J64))+4*K64*U64*SIN(RADIANS(J64))*COS(2*RADIANS(I64))-0.5*U64*U64*SIN(4*RADIANS(I64))-1.25*K64*K64*SIN(2*RADIANS(J64)))</f>
        <v>14.2309501116113</v>
      </c>
      <c r="W64" s="0" t="n">
        <f aca="false">DEGREES(ACOS(COS(RADIANS(90.833))/(COS(RADIANS($B$3))*COS(RADIANS(T64)))-TAN(RADIANS($B$3))*TAN(RADIANS(T64))))</f>
        <v>43.7693751011161</v>
      </c>
      <c r="X64" s="7" t="n">
        <f aca="false">(720-4*$B$4-V64+$B$5*60)/1440</f>
        <v>0.499853506866937</v>
      </c>
      <c r="Y64" s="7" t="n">
        <f aca="false">X64-W64*4/1440</f>
        <v>0.378271909363836</v>
      </c>
      <c r="Z64" s="7" t="n">
        <f aca="false">X64+W64*4/1440</f>
        <v>0.621435104370037</v>
      </c>
      <c r="AA64" s="10" t="n">
        <f aca="false">8*W64</f>
        <v>350.155000808929</v>
      </c>
      <c r="AB64" s="0" t="n">
        <f aca="false">MOD(E64*1440+V64+4*$B$4-60*$B$5,1440)</f>
        <v>378.210950111612</v>
      </c>
      <c r="AC64" s="0" t="n">
        <f aca="false">IF(AB64/4&lt;0,AB64/4+180,AB64/4-180)</f>
        <v>-85.4472624720971</v>
      </c>
      <c r="AD64" s="0" t="n">
        <f aca="false">DEGREES(ACOS(SIN(RADIANS($B$3))*SIN(RADIANS(T64))+COS(RADIANS($B$3))*COS(RADIANS(T64))*COS(RADIANS(AC64))))</f>
        <v>105.964543119771</v>
      </c>
      <c r="AE64" s="0" t="n">
        <f aca="false">90-AD64</f>
        <v>-15.9645431197714</v>
      </c>
      <c r="AF64" s="0" t="n">
        <f aca="false">IF(AE64&gt;85,0,IF(AE64&gt;5,58.1/TAN(RADIANS(AE64))-0.07/POWER(TAN(RADIANS(AE64)),3)+0.000086/POWER(TAN(RADIANS(AE64)),5),IF(AE64&gt;-0.575,1735+AE64*(-518.2+AE64*(103.4+AE64*(-12.79+AE64*0.711))),-20.772/TAN(RADIANS(AE64)))))/3600</f>
        <v>0.0201694807970204</v>
      </c>
      <c r="AG64" s="0" t="n">
        <f aca="false">AE64+AF64</f>
        <v>-15.9443736389744</v>
      </c>
      <c r="AH64" s="0" t="n">
        <f aca="false">IF(AC64&gt;0,MOD(DEGREES(ACOS(((SIN(RADIANS($B$3))*COS(RADIANS(AD64)))-SIN(RADIANS(T64)))/(COS(RADIANS($B$3))*SIN(RADIANS(AD64)))))+180,360),MOD(540-DEGREES(ACOS(((SIN(RADIANS($B$3))*COS(RADIANS(AD64)))-SIN(RADIANS(T64)))/(COS(RADIANS($B$3))*SIN(RADIANS(AD64))))),360))</f>
        <v>102.867118308478</v>
      </c>
    </row>
    <row r="65" customFormat="false" ht="15" hidden="false" customHeight="false" outlineLevel="0" collapsed="false">
      <c r="D65" s="6" t="n">
        <f aca="false">$B$7</f>
        <v>44886</v>
      </c>
      <c r="E65" s="7" t="n">
        <f aca="false">E64+0.1/24</f>
        <v>0.266666666666667</v>
      </c>
      <c r="F65" s="8" t="n">
        <f aca="false">D65+2415018.5+E65-$B$5/24</f>
        <v>2459904.725</v>
      </c>
      <c r="G65" s="9" t="n">
        <f aca="false">(F65-2451545)/36525</f>
        <v>0.228876796714582</v>
      </c>
      <c r="I65" s="0" t="n">
        <f aca="false">MOD(280.46646+G65*(36000.76983+G65*0.0003032),360)</f>
        <v>240.207353832358</v>
      </c>
      <c r="J65" s="0" t="n">
        <f aca="false">357.52911+G65*(35999.05029-0.0001537*G65)</f>
        <v>8596.87641709082</v>
      </c>
      <c r="K65" s="0" t="n">
        <f aca="false">0.016708634-G65*(0.000042037+0.0000001267*G65)</f>
        <v>0.0166990060689692</v>
      </c>
      <c r="L65" s="0" t="n">
        <f aca="false">SIN(RADIANS(J65))*(1.914602-G65*(0.004817+0.000014*G65))+SIN(RADIANS(2*J65))*(0.019993-0.000101*G65)+SIN(RADIANS(3*J65))*0.000289</f>
        <v>-1.32816896027232</v>
      </c>
      <c r="M65" s="0" t="n">
        <f aca="false">I65+L65</f>
        <v>238.879184872086</v>
      </c>
      <c r="N65" s="0" t="n">
        <f aca="false">J65+L65</f>
        <v>8595.54824813055</v>
      </c>
      <c r="O65" s="0" t="n">
        <f aca="false">(1.000001018*(1-K65*K65))/(1+K65*COS(RADIANS(N65)))</f>
        <v>0.987945430933265</v>
      </c>
      <c r="P65" s="0" t="n">
        <f aca="false">M65-0.00569-0.00478*SIN(RADIANS(125.04-1934.136*G65))</f>
        <v>238.870274100972</v>
      </c>
      <c r="Q65" s="0" t="n">
        <f aca="false">23+(26+((21.448-G65*(46.815+G65*(0.00059-G65*0.001813))))/60)/60</f>
        <v>23.4363147565534</v>
      </c>
      <c r="R65" s="0" t="n">
        <f aca="false">Q65+0.00256*COS(RADIANS(125.04-1934.136*G65))</f>
        <v>23.4382063723311</v>
      </c>
      <c r="S65" s="0" t="n">
        <f aca="false">DEGREES(ATAN2(COS(RADIANS(P65)),COS(RADIANS(R65))*SIN(RADIANS(P65))))</f>
        <v>-123.355297908523</v>
      </c>
      <c r="T65" s="0" t="n">
        <f aca="false">DEGREES(ASIN(SIN(RADIANS(R65))*SIN(RADIANS(P65))))</f>
        <v>-19.906241160722</v>
      </c>
      <c r="U65" s="0" t="n">
        <f aca="false">TAN(RADIANS(R65/2))*TAN(RADIANS(R65/2))</f>
        <v>0.0430304329089444</v>
      </c>
      <c r="V65" s="0" t="n">
        <f aca="false">4*DEGREES(U65*SIN(2*RADIANS(I65))-2*K65*SIN(RADIANS(J65))+4*K65*U65*SIN(RADIANS(J65))*COS(2*RADIANS(I65))-0.5*U65*U65*SIN(4*RADIANS(I65))-1.25*K65*K65*SIN(2*RADIANS(J65)))</f>
        <v>14.2299012057125</v>
      </c>
      <c r="W65" s="0" t="n">
        <f aca="false">DEGREES(ACOS(COS(RADIANS(90.833))/(COS(RADIANS($B$3))*COS(RADIANS(T65)))-TAN(RADIANS($B$3))*TAN(RADIANS(T65))))</f>
        <v>43.7662426679435</v>
      </c>
      <c r="X65" s="7" t="n">
        <f aca="false">(720-4*$B$4-V65+$B$5*60)/1440</f>
        <v>0.499854235273811</v>
      </c>
      <c r="Y65" s="7" t="n">
        <f aca="false">X65-W65*4/1440</f>
        <v>0.378281338973968</v>
      </c>
      <c r="Z65" s="7" t="n">
        <f aca="false">X65+W65*4/1440</f>
        <v>0.621427131573654</v>
      </c>
      <c r="AA65" s="10" t="n">
        <f aca="false">8*W65</f>
        <v>350.129941343548</v>
      </c>
      <c r="AB65" s="0" t="n">
        <f aca="false">MOD(E65*1440+V65+4*$B$4-60*$B$5,1440)</f>
        <v>384.209901205713</v>
      </c>
      <c r="AC65" s="0" t="n">
        <f aca="false">IF(AB65/4&lt;0,AB65/4+180,AB65/4-180)</f>
        <v>-83.9475246985718</v>
      </c>
      <c r="AD65" s="0" t="n">
        <f aca="false">DEGREES(ACOS(SIN(RADIANS($B$3))*SIN(RADIANS(T65))+COS(RADIANS($B$3))*COS(RADIANS(T65))*COS(RADIANS(AC65))))</f>
        <v>105.336845864471</v>
      </c>
      <c r="AE65" s="0" t="n">
        <f aca="false">90-AD65</f>
        <v>-15.3368458644708</v>
      </c>
      <c r="AF65" s="0" t="n">
        <f aca="false">IF(AE65&gt;85,0,IF(AE65&gt;5,58.1/TAN(RADIANS(AE65))-0.07/POWER(TAN(RADIANS(AE65)),3)+0.000086/POWER(TAN(RADIANS(AE65)),5),IF(AE65&gt;-0.575,1735+AE65*(-518.2+AE65*(103.4+AE65*(-12.79+AE65*0.711))),-20.772/TAN(RADIANS(AE65)))))/3600</f>
        <v>0.0210384019433304</v>
      </c>
      <c r="AG65" s="0" t="n">
        <f aca="false">AE65+AF65</f>
        <v>-15.3158074625274</v>
      </c>
      <c r="AH65" s="0" t="n">
        <f aca="false">IF(AC65&gt;0,MOD(DEGREES(ACOS(((SIN(RADIANS($B$3))*COS(RADIANS(AD65)))-SIN(RADIANS(T65)))/(COS(RADIANS($B$3))*SIN(RADIANS(AD65)))))+180,360),MOD(540-DEGREES(ACOS(((SIN(RADIANS($B$3))*COS(RADIANS(AD65)))-SIN(RADIANS(T65)))/(COS(RADIANS($B$3))*SIN(RADIANS(AD65))))),360))</f>
        <v>104.178467461915</v>
      </c>
    </row>
    <row r="66" customFormat="false" ht="15" hidden="false" customHeight="false" outlineLevel="0" collapsed="false">
      <c r="D66" s="6" t="n">
        <f aca="false">$B$7</f>
        <v>44886</v>
      </c>
      <c r="E66" s="7" t="n">
        <f aca="false">E65+0.1/24</f>
        <v>0.270833333333334</v>
      </c>
      <c r="F66" s="8" t="n">
        <f aca="false">D66+2415018.5+E66-$B$5/24</f>
        <v>2459904.72916667</v>
      </c>
      <c r="G66" s="9" t="n">
        <f aca="false">(F66-2451545)/36525</f>
        <v>0.228876910791704</v>
      </c>
      <c r="I66" s="0" t="n">
        <f aca="false">MOD(280.46646+G66*(36000.76983+G66*0.0003032),360)</f>
        <v>240.21146069659</v>
      </c>
      <c r="J66" s="0" t="n">
        <f aca="false">357.52911+G66*(35999.05029-0.0001537*G66)</f>
        <v>8596.88052375886</v>
      </c>
      <c r="K66" s="0" t="n">
        <f aca="false">0.016708634-G66*(0.000042037+0.0000001267*G66)</f>
        <v>0.0166990060641671</v>
      </c>
      <c r="L66" s="0" t="n">
        <f aca="false">SIN(RADIANS(J66))*(1.914602-G66*(0.004817+0.000014*G66))+SIN(RADIANS(2*J66))*(0.019993-0.000101*G66)+SIN(RADIANS(3*J66))*0.000289</f>
        <v>-1.32806870534015</v>
      </c>
      <c r="M66" s="0" t="n">
        <f aca="false">I66+L66</f>
        <v>238.88339199125</v>
      </c>
      <c r="N66" s="0" t="n">
        <f aca="false">J66+L66</f>
        <v>8595.55245505353</v>
      </c>
      <c r="O66" s="0" t="n">
        <f aca="false">(1.000001018*(1-K66*K66))/(1+K66*COS(RADIANS(N66)))</f>
        <v>0.987944592651457</v>
      </c>
      <c r="P66" s="0" t="n">
        <f aca="false">M66-0.00569-0.00478*SIN(RADIANS(125.04-1934.136*G66))</f>
        <v>238.874481233737</v>
      </c>
      <c r="Q66" s="0" t="n">
        <f aca="false">23+(26+((21.448-G66*(46.815+G66*(0.00059-G66*0.001813))))/60)/60</f>
        <v>23.4363147550699</v>
      </c>
      <c r="R66" s="0" t="n">
        <f aca="false">Q66+0.00256*COS(RADIANS(125.04-1934.136*G66))</f>
        <v>23.4382063774901</v>
      </c>
      <c r="S66" s="0" t="n">
        <f aca="false">DEGREES(ATAN2(COS(RADIANS(P66)),COS(RADIANS(R66))*SIN(RADIANS(P66))))</f>
        <v>-123.350931723473</v>
      </c>
      <c r="T66" s="0" t="n">
        <f aca="false">DEGREES(ASIN(SIN(RADIANS(R66))*SIN(RADIANS(P66))))</f>
        <v>-19.9071612115185</v>
      </c>
      <c r="U66" s="0" t="n">
        <f aca="false">TAN(RADIANS(R66/2))*TAN(RADIANS(R66/2))</f>
        <v>0.0430304329284263</v>
      </c>
      <c r="V66" s="0" t="n">
        <f aca="false">4*DEGREES(U66*SIN(2*RADIANS(I66))-2*K66*SIN(RADIANS(J66))+4*K66*U66*SIN(RADIANS(J66))*COS(2*RADIANS(I66))-0.5*U66*U66*SIN(4*RADIANS(I66))-1.25*K66*K66*SIN(2*RADIANS(J66)))</f>
        <v>14.228852066791</v>
      </c>
      <c r="W66" s="0" t="n">
        <f aca="false">DEGREES(ACOS(COS(RADIANS(90.833))/(COS(RADIANS($B$3))*COS(RADIANS(T66)))-TAN(RADIANS($B$3))*TAN(RADIANS(T66))))</f>
        <v>43.763110377272</v>
      </c>
      <c r="X66" s="7" t="n">
        <f aca="false">(720-4*$B$4-V66+$B$5*60)/1440</f>
        <v>0.499854963842506</v>
      </c>
      <c r="Y66" s="7" t="n">
        <f aca="false">X66-W66*4/1440</f>
        <v>0.378290768350084</v>
      </c>
      <c r="Z66" s="7" t="n">
        <f aca="false">X66+W66*4/1440</f>
        <v>0.621419159334928</v>
      </c>
      <c r="AA66" s="10" t="n">
        <f aca="false">8*W66</f>
        <v>350.104883018176</v>
      </c>
      <c r="AB66" s="0" t="n">
        <f aca="false">MOD(E66*1440+V66+4*$B$4-60*$B$5,1440)</f>
        <v>390.208852066791</v>
      </c>
      <c r="AC66" s="0" t="n">
        <f aca="false">IF(AB66/4&lt;0,AB66/4+180,AB66/4-180)</f>
        <v>-82.4477869833021</v>
      </c>
      <c r="AD66" s="0" t="n">
        <f aca="false">DEGREES(ACOS(SIN(RADIANS($B$3))*SIN(RADIANS(T66))+COS(RADIANS($B$3))*COS(RADIANS(T66))*COS(RADIANS(AC66))))</f>
        <v>104.712770577445</v>
      </c>
      <c r="AE66" s="0" t="n">
        <f aca="false">90-AD66</f>
        <v>-14.7127705774453</v>
      </c>
      <c r="AF66" s="0" t="n">
        <f aca="false">IF(AE66&gt;85,0,IF(AE66&gt;5,58.1/TAN(RADIANS(AE66))-0.07/POWER(TAN(RADIANS(AE66)),3)+0.000086/POWER(TAN(RADIANS(AE66)),5),IF(AE66&gt;-0.575,1735+AE66*(-518.2+AE66*(103.4+AE66*(-12.79+AE66*0.711))),-20.772/TAN(RADIANS(AE66)))))/3600</f>
        <v>0.0219739766480095</v>
      </c>
      <c r="AG66" s="0" t="n">
        <f aca="false">AE66+AF66</f>
        <v>-14.6907966007973</v>
      </c>
      <c r="AH66" s="0" t="n">
        <f aca="false">IF(AC66&gt;0,MOD(DEGREES(ACOS(((SIN(RADIANS($B$3))*COS(RADIANS(AD66)))-SIN(RADIANS(T66)))/(COS(RADIANS($B$3))*SIN(RADIANS(AD66)))))+180,360),MOD(540-DEGREES(ACOS(((SIN(RADIANS($B$3))*COS(RADIANS(AD66)))-SIN(RADIANS(T66)))/(COS(RADIANS($B$3))*SIN(RADIANS(AD66))))),360))</f>
        <v>105.487741071017</v>
      </c>
    </row>
    <row r="67" customFormat="false" ht="15" hidden="false" customHeight="false" outlineLevel="0" collapsed="false">
      <c r="D67" s="6" t="n">
        <f aca="false">$B$7</f>
        <v>44886</v>
      </c>
      <c r="E67" s="7" t="n">
        <f aca="false">E66+0.1/24</f>
        <v>0.275</v>
      </c>
      <c r="F67" s="8" t="n">
        <f aca="false">D67+2415018.5+E67-$B$5/24</f>
        <v>2459904.73333333</v>
      </c>
      <c r="G67" s="9" t="n">
        <f aca="false">(F67-2451545)/36525</f>
        <v>0.228877024868813</v>
      </c>
      <c r="I67" s="0" t="n">
        <f aca="false">MOD(280.46646+G67*(36000.76983+G67*0.0003032),360)</f>
        <v>240.215567560361</v>
      </c>
      <c r="J67" s="0" t="n">
        <f aca="false">357.52911+G67*(35999.05029-0.0001537*G67)</f>
        <v>8596.88463042645</v>
      </c>
      <c r="K67" s="0" t="n">
        <f aca="false">0.016708634-G67*(0.000042037+0.0000001267*G67)</f>
        <v>0.0166990060593651</v>
      </c>
      <c r="L67" s="0" t="n">
        <f aca="false">SIN(RADIANS(J67))*(1.914602-G67*(0.004817+0.000014*G67))+SIN(RADIANS(2*J67))*(0.019993-0.000101*G67)+SIN(RADIANS(3*J67))*0.000289</f>
        <v>-1.32796844328016</v>
      </c>
      <c r="M67" s="0" t="n">
        <f aca="false">I67+L67</f>
        <v>238.887599117081</v>
      </c>
      <c r="N67" s="0" t="n">
        <f aca="false">J67+L67</f>
        <v>8595.55666198317</v>
      </c>
      <c r="O67" s="0" t="n">
        <f aca="false">(1.000001018*(1-K67*K67))/(1+K67*COS(RADIANS(N67)))</f>
        <v>0.98794375443249</v>
      </c>
      <c r="P67" s="0" t="n">
        <f aca="false">M67-0.00569-0.00478*SIN(RADIANS(125.04-1934.136*G67))</f>
        <v>238.878688373169</v>
      </c>
      <c r="Q67" s="0" t="n">
        <f aca="false">23+(26+((21.448-G67*(46.815+G67*(0.00059-G67*0.001813))))/60)/60</f>
        <v>23.4363147535864</v>
      </c>
      <c r="R67" s="0" t="n">
        <f aca="false">Q67+0.00256*COS(RADIANS(125.04-1934.136*G67))</f>
        <v>23.4382063826492</v>
      </c>
      <c r="S67" s="0" t="n">
        <f aca="false">DEGREES(ATAN2(COS(RADIANS(P67)),COS(RADIANS(R67))*SIN(RADIANS(P67))))</f>
        <v>-123.346565480724</v>
      </c>
      <c r="T67" s="0" t="n">
        <f aca="false">DEGREES(ASIN(SIN(RADIANS(R67))*SIN(RADIANS(P67))))</f>
        <v>-19.9080811572508</v>
      </c>
      <c r="U67" s="0" t="n">
        <f aca="false">TAN(RADIANS(R67/2))*TAN(RADIANS(R67/2))</f>
        <v>0.0430304329479082</v>
      </c>
      <c r="V67" s="0" t="n">
        <f aca="false">4*DEGREES(U67*SIN(2*RADIANS(I67))-2*K67*SIN(RADIANS(J67))+4*K67*U67*SIN(RADIANS(J67))*COS(2*RADIANS(I67))-0.5*U67*U67*SIN(4*RADIANS(I67))-1.25*K67*K67*SIN(2*RADIANS(J67)))</f>
        <v>14.2278026950942</v>
      </c>
      <c r="W67" s="0" t="n">
        <f aca="false">DEGREES(ACOS(COS(RADIANS(90.833))/(COS(RADIANS($B$3))*COS(RADIANS(T67)))-TAN(RADIANS($B$3))*TAN(RADIANS(T67))))</f>
        <v>43.759978229853</v>
      </c>
      <c r="X67" s="7" t="n">
        <f aca="false">(720-4*$B$4-V67+$B$5*60)/1440</f>
        <v>0.499855692572851</v>
      </c>
      <c r="Y67" s="7" t="n">
        <f aca="false">X67-W67*4/1440</f>
        <v>0.378300197489926</v>
      </c>
      <c r="Z67" s="7" t="n">
        <f aca="false">X67+W67*4/1440</f>
        <v>0.621411187655776</v>
      </c>
      <c r="AA67" s="10" t="n">
        <f aca="false">8*W67</f>
        <v>350.079825838824</v>
      </c>
      <c r="AB67" s="0" t="n">
        <f aca="false">MOD(E67*1440+V67+4*$B$4-60*$B$5,1440)</f>
        <v>396.207802695095</v>
      </c>
      <c r="AC67" s="0" t="n">
        <f aca="false">IF(AB67/4&lt;0,AB67/4+180,AB67/4-180)</f>
        <v>-80.9480493262264</v>
      </c>
      <c r="AD67" s="0" t="n">
        <f aca="false">DEGREES(ACOS(SIN(RADIANS($B$3))*SIN(RADIANS(T67))+COS(RADIANS($B$3))*COS(RADIANS(T67))*COS(RADIANS(AC67))))</f>
        <v>104.092638179049</v>
      </c>
      <c r="AE67" s="0" t="n">
        <f aca="false">90-AD67</f>
        <v>-14.0926381790487</v>
      </c>
      <c r="AF67" s="0" t="n">
        <f aca="false">IF(AE67&gt;85,0,IF(AE67&gt;5,58.1/TAN(RADIANS(AE67))-0.07/POWER(TAN(RADIANS(AE67)),3)+0.000086/POWER(TAN(RADIANS(AE67)),5),IF(AE67&gt;-0.575,1735+AE67*(-518.2+AE67*(103.4+AE67*(-12.79+AE67*0.711))),-20.772/TAN(RADIANS(AE67)))))/3600</f>
        <v>0.0229838312176329</v>
      </c>
      <c r="AG67" s="0" t="n">
        <f aca="false">AE67+AF67</f>
        <v>-14.069654347831</v>
      </c>
      <c r="AH67" s="0" t="n">
        <f aca="false">IF(AC67&gt;0,MOD(DEGREES(ACOS(((SIN(RADIANS($B$3))*COS(RADIANS(AD67)))-SIN(RADIANS(T67)))/(COS(RADIANS($B$3))*SIN(RADIANS(AD67)))))+180,360),MOD(540-DEGREES(ACOS(((SIN(RADIANS($B$3))*COS(RADIANS(AD67)))-SIN(RADIANS(T67)))/(COS(RADIANS($B$3))*SIN(RADIANS(AD67))))),360))</f>
        <v>106.795278232331</v>
      </c>
    </row>
    <row r="68" customFormat="false" ht="15" hidden="false" customHeight="false" outlineLevel="0" collapsed="false">
      <c r="D68" s="6" t="n">
        <f aca="false">$B$7</f>
        <v>44886</v>
      </c>
      <c r="E68" s="7" t="n">
        <f aca="false">E67+0.1/24</f>
        <v>0.279166666666667</v>
      </c>
      <c r="F68" s="8" t="n">
        <f aca="false">D68+2415018.5+E68-$B$5/24</f>
        <v>2459904.7375</v>
      </c>
      <c r="G68" s="9" t="n">
        <f aca="false">(F68-2451545)/36525</f>
        <v>0.228877138945935</v>
      </c>
      <c r="I68" s="0" t="n">
        <f aca="false">MOD(280.46646+G68*(36000.76983+G68*0.0003032),360)</f>
        <v>240.219674424592</v>
      </c>
      <c r="J68" s="0" t="n">
        <f aca="false">357.52911+G68*(35999.05029-0.0001537*G68)</f>
        <v>8596.8887370945</v>
      </c>
      <c r="K68" s="0" t="n">
        <f aca="false">0.016708634-G68*(0.000042037+0.0000001267*G68)</f>
        <v>0.016699006054563</v>
      </c>
      <c r="L68" s="0" t="n">
        <f aca="false">SIN(RADIANS(J68))*(1.914602-G68*(0.004817+0.000014*G68))+SIN(RADIANS(2*J68))*(0.019993-0.000101*G68)+SIN(RADIANS(3*J68))*0.000289</f>
        <v>-1.32786817407069</v>
      </c>
      <c r="M68" s="0" t="n">
        <f aca="false">I68+L68</f>
        <v>238.891806250521</v>
      </c>
      <c r="N68" s="0" t="n">
        <f aca="false">J68+L68</f>
        <v>8595.56086892043</v>
      </c>
      <c r="O68" s="0" t="n">
        <f aca="false">(1.000001018*(1-K68*K68))/(1+K68*COS(RADIANS(N68)))</f>
        <v>0.987942916276182</v>
      </c>
      <c r="P68" s="0" t="n">
        <f aca="false">M68-0.00569-0.00478*SIN(RADIANS(125.04-1934.136*G68))</f>
        <v>238.882895520212</v>
      </c>
      <c r="Q68" s="0" t="n">
        <f aca="false">23+(26+((21.448-G68*(46.815+G68*(0.00059-G68*0.001813))))/60)/60</f>
        <v>23.4363147521029</v>
      </c>
      <c r="R68" s="0" t="n">
        <f aca="false">Q68+0.00256*COS(RADIANS(125.04-1934.136*G68))</f>
        <v>23.4382063878082</v>
      </c>
      <c r="S68" s="0" t="n">
        <f aca="false">DEGREES(ATAN2(COS(RADIANS(P68)),COS(RADIANS(R68))*SIN(RADIANS(P68))))</f>
        <v>-123.342199179304</v>
      </c>
      <c r="T68" s="0" t="n">
        <f aca="false">DEGREES(ASIN(SIN(RADIANS(R68))*SIN(RADIANS(P68))))</f>
        <v>-19.9090009981177</v>
      </c>
      <c r="U68" s="0" t="n">
        <f aca="false">TAN(RADIANS(R68/2))*TAN(RADIANS(R68/2))</f>
        <v>0.04303043296739</v>
      </c>
      <c r="V68" s="0" t="n">
        <f aca="false">4*DEGREES(U68*SIN(2*RADIANS(I68))-2*K68*SIN(RADIANS(J68))+4*K68*U68*SIN(RADIANS(J68))*COS(2*RADIANS(I68))-0.5*U68*U68*SIN(4*RADIANS(I68))-1.25*K68*K68*SIN(2*RADIANS(J68)))</f>
        <v>14.2267530904017</v>
      </c>
      <c r="W68" s="0" t="n">
        <f aca="false">DEGREES(ACOS(COS(RADIANS(90.833))/(COS(RADIANS($B$3))*COS(RADIANS(T68)))-TAN(RADIANS($B$3))*TAN(RADIANS(T68))))</f>
        <v>43.7568462250344</v>
      </c>
      <c r="X68" s="7" t="n">
        <f aca="false">(720-4*$B$4-V68+$B$5*60)/1440</f>
        <v>0.499856421464999</v>
      </c>
      <c r="Y68" s="7" t="n">
        <f aca="false">X68-W68*4/1440</f>
        <v>0.378309626395459</v>
      </c>
      <c r="Z68" s="7" t="n">
        <f aca="false">X68+W68*4/1440</f>
        <v>0.621403216534539</v>
      </c>
      <c r="AA68" s="10" t="n">
        <f aca="false">8*W68</f>
        <v>350.054769800276</v>
      </c>
      <c r="AB68" s="0" t="n">
        <f aca="false">MOD(E68*1440+V68+4*$B$4-60*$B$5,1440)</f>
        <v>402.206753090402</v>
      </c>
      <c r="AC68" s="0" t="n">
        <f aca="false">IF(AB68/4&lt;0,AB68/4+180,AB68/4-180)</f>
        <v>-79.4483117273995</v>
      </c>
      <c r="AD68" s="0" t="n">
        <f aca="false">DEGREES(ACOS(SIN(RADIANS($B$3))*SIN(RADIANS(T68))+COS(RADIANS($B$3))*COS(RADIANS(T68))*COS(RADIANS(AC68))))</f>
        <v>103.476767244145</v>
      </c>
      <c r="AE68" s="0" t="n">
        <f aca="false">90-AD68</f>
        <v>-13.4767672441445</v>
      </c>
      <c r="AF68" s="0" t="n">
        <f aca="false">IF(AE68&gt;85,0,IF(AE68&gt;5,58.1/TAN(RADIANS(AE68))-0.07/POWER(TAN(RADIANS(AE68)),3)+0.000086/POWER(TAN(RADIANS(AE68)),5),IF(AE68&gt;-0.575,1735+AE68*(-518.2+AE68*(103.4+AE68*(-12.79+AE68*0.711))),-20.772/TAN(RADIANS(AE68)))))/3600</f>
        <v>0.0240767845356765</v>
      </c>
      <c r="AG68" s="0" t="n">
        <f aca="false">AE68+AF68</f>
        <v>-13.4526904596088</v>
      </c>
      <c r="AH68" s="0" t="n">
        <f aca="false">IF(AC68&gt;0,MOD(DEGREES(ACOS(((SIN(RADIANS($B$3))*COS(RADIANS(AD68)))-SIN(RADIANS(T68)))/(COS(RADIANS($B$3))*SIN(RADIANS(AD68)))))+180,360),MOD(540-DEGREES(ACOS(((SIN(RADIANS($B$3))*COS(RADIANS(AD68)))-SIN(RADIANS(T68)))/(COS(RADIANS($B$3))*SIN(RADIANS(AD68))))),360))</f>
        <v>108.10140894391</v>
      </c>
    </row>
    <row r="69" customFormat="false" ht="15" hidden="false" customHeight="false" outlineLevel="0" collapsed="false">
      <c r="D69" s="6" t="n">
        <f aca="false">$B$7</f>
        <v>44886</v>
      </c>
      <c r="E69" s="7" t="n">
        <f aca="false">E68+0.1/24</f>
        <v>0.283333333333334</v>
      </c>
      <c r="F69" s="8" t="n">
        <f aca="false">D69+2415018.5+E69-$B$5/24</f>
        <v>2459904.74166667</v>
      </c>
      <c r="G69" s="9" t="n">
        <f aca="false">(F69-2451545)/36525</f>
        <v>0.228877253023044</v>
      </c>
      <c r="I69" s="0" t="n">
        <f aca="false">MOD(280.46646+G69*(36000.76983+G69*0.0003032),360)</f>
        <v>240.223781288363</v>
      </c>
      <c r="J69" s="0" t="n">
        <f aca="false">357.52911+G69*(35999.05029-0.0001537*G69)</f>
        <v>8596.89284376209</v>
      </c>
      <c r="K69" s="0" t="n">
        <f aca="false">0.016708634-G69*(0.000042037+0.0000001267*G69)</f>
        <v>0.0166990060497609</v>
      </c>
      <c r="L69" s="0" t="n">
        <f aca="false">SIN(RADIANS(J69))*(1.914602-G69*(0.004817+0.000014*G69))+SIN(RADIANS(2*J69))*(0.019993-0.000101*G69)+SIN(RADIANS(3*J69))*0.000289</f>
        <v>-1.32776789773443</v>
      </c>
      <c r="M69" s="0" t="n">
        <f aca="false">I69+L69</f>
        <v>238.896013390629</v>
      </c>
      <c r="N69" s="0" t="n">
        <f aca="false">J69+L69</f>
        <v>8595.56507586435</v>
      </c>
      <c r="O69" s="0" t="n">
        <f aca="false">(1.000001018*(1-K69*K69))/(1+K69*COS(RADIANS(N69)))</f>
        <v>0.987942078182723</v>
      </c>
      <c r="P69" s="0" t="n">
        <f aca="false">M69-0.00569-0.00478*SIN(RADIANS(125.04-1934.136*G69))</f>
        <v>238.887102673921</v>
      </c>
      <c r="Q69" s="0" t="n">
        <f aca="false">23+(26+((21.448-G69*(46.815+G69*(0.00059-G69*0.001813))))/60)/60</f>
        <v>23.4363147506194</v>
      </c>
      <c r="R69" s="0" t="n">
        <f aca="false">Q69+0.00256*COS(RADIANS(125.04-1934.136*G69))</f>
        <v>23.4382063929671</v>
      </c>
      <c r="S69" s="0" t="n">
        <f aca="false">DEGREES(ATAN2(COS(RADIANS(P69)),COS(RADIANS(R69))*SIN(RADIANS(P69))))</f>
        <v>-123.337832820192</v>
      </c>
      <c r="T69" s="0" t="n">
        <f aca="false">DEGREES(ASIN(SIN(RADIANS(R69))*SIN(RADIANS(P69))))</f>
        <v>-19.9099207339058</v>
      </c>
      <c r="U69" s="0" t="n">
        <f aca="false">TAN(RADIANS(R69/2))*TAN(RADIANS(R69/2))</f>
        <v>0.0430304329868716</v>
      </c>
      <c r="V69" s="0" t="n">
        <f aca="false">4*DEGREES(U69*SIN(2*RADIANS(I69))-2*K69*SIN(RADIANS(J69))+4*K69*U69*SIN(RADIANS(J69))*COS(2*RADIANS(I69))-0.5*U69*U69*SIN(4*RADIANS(I69))-1.25*K69*K69*SIN(2*RADIANS(J69)))</f>
        <v>14.225703252961</v>
      </c>
      <c r="W69" s="0" t="n">
        <f aca="false">DEGREES(ACOS(COS(RADIANS(90.833))/(COS(RADIANS($B$3))*COS(RADIANS(T69)))-TAN(RADIANS($B$3))*TAN(RADIANS(T69))))</f>
        <v>43.7537143635679</v>
      </c>
      <c r="X69" s="7" t="n">
        <f aca="false">(720-4*$B$4-V69+$B$5*60)/1440</f>
        <v>0.499857150518777</v>
      </c>
      <c r="Y69" s="7" t="n">
        <f aca="false">X69-W69*4/1440</f>
        <v>0.378319055064422</v>
      </c>
      <c r="Z69" s="7" t="n">
        <f aca="false">X69+W69*4/1440</f>
        <v>0.621395245973132</v>
      </c>
      <c r="AA69" s="10" t="n">
        <f aca="false">8*W69</f>
        <v>350.029714908543</v>
      </c>
      <c r="AB69" s="0" t="n">
        <f aca="false">MOD(E69*1440+V69+4*$B$4-60*$B$5,1440)</f>
        <v>408.205703252961</v>
      </c>
      <c r="AC69" s="0" t="n">
        <f aca="false">IF(AB69/4&lt;0,AB69/4+180,AB69/4-180)</f>
        <v>-77.9485741867597</v>
      </c>
      <c r="AD69" s="0" t="n">
        <f aca="false">DEGREES(ACOS(SIN(RADIANS($B$3))*SIN(RADIANS(T69))+COS(RADIANS($B$3))*COS(RADIANS(T69))*COS(RADIANS(AC69))))</f>
        <v>102.865474147185</v>
      </c>
      <c r="AE69" s="0" t="n">
        <f aca="false">90-AD69</f>
        <v>-12.8654741471847</v>
      </c>
      <c r="AF69" s="0" t="n">
        <f aca="false">IF(AE69&gt;85,0,IF(AE69&gt;5,58.1/TAN(RADIANS(AE69))-0.07/POWER(TAN(RADIANS(AE69)),3)+0.000086/POWER(TAN(RADIANS(AE69)),5),IF(AE69&gt;-0.575,1735+AE69*(-518.2+AE69*(103.4+AE69*(-12.79+AE69*0.711))),-20.772/TAN(RADIANS(AE69)))))/3600</f>
        <v>0.0252630882493614</v>
      </c>
      <c r="AG69" s="0" t="n">
        <f aca="false">AE69+AF69</f>
        <v>-12.8402110589353</v>
      </c>
      <c r="AH69" s="0" t="n">
        <f aca="false">IF(AC69&gt;0,MOD(DEGREES(ACOS(((SIN(RADIANS($B$3))*COS(RADIANS(AD69)))-SIN(RADIANS(T69)))/(COS(RADIANS($B$3))*SIN(RADIANS(AD69)))))+180,360),MOD(540-DEGREES(ACOS(((SIN(RADIANS($B$3))*COS(RADIANS(AD69)))-SIN(RADIANS(T69)))/(COS(RADIANS($B$3))*SIN(RADIANS(AD69))))),360))</f>
        <v>109.406453975971</v>
      </c>
    </row>
    <row r="70" customFormat="false" ht="15" hidden="false" customHeight="false" outlineLevel="0" collapsed="false">
      <c r="D70" s="6" t="n">
        <f aca="false">$B$7</f>
        <v>44886</v>
      </c>
      <c r="E70" s="7" t="n">
        <f aca="false">E69+0.1/24</f>
        <v>0.2875</v>
      </c>
      <c r="F70" s="8" t="n">
        <f aca="false">D70+2415018.5+E70-$B$5/24</f>
        <v>2459904.74583333</v>
      </c>
      <c r="G70" s="9" t="n">
        <f aca="false">(F70-2451545)/36525</f>
        <v>0.228877367100167</v>
      </c>
      <c r="I70" s="0" t="n">
        <f aca="false">MOD(280.46646+G70*(36000.76983+G70*0.0003032),360)</f>
        <v>240.227888152594</v>
      </c>
      <c r="J70" s="0" t="n">
        <f aca="false">357.52911+G70*(35999.05029-0.0001537*G70)</f>
        <v>8596.89695043013</v>
      </c>
      <c r="K70" s="0" t="n">
        <f aca="false">0.016708634-G70*(0.000042037+0.0000001267*G70)</f>
        <v>0.0166990060449588</v>
      </c>
      <c r="L70" s="0" t="n">
        <f aca="false">SIN(RADIANS(J70))*(1.914602-G70*(0.004817+0.000014*G70))+SIN(RADIANS(2*J70))*(0.019993-0.000101*G70)+SIN(RADIANS(3*J70))*0.000289</f>
        <v>-1.32766761424969</v>
      </c>
      <c r="M70" s="0" t="n">
        <f aca="false">I70+L70</f>
        <v>238.900220538345</v>
      </c>
      <c r="N70" s="0" t="n">
        <f aca="false">J70+L70</f>
        <v>8595.56928281588</v>
      </c>
      <c r="O70" s="0" t="n">
        <f aca="false">(1.000001018*(1-K70*K70))/(1+K70*COS(RADIANS(N70)))</f>
        <v>0.987941240151933</v>
      </c>
      <c r="P70" s="0" t="n">
        <f aca="false">M70-0.00569-0.00478*SIN(RADIANS(125.04-1934.136*G70))</f>
        <v>238.891309835238</v>
      </c>
      <c r="Q70" s="0" t="n">
        <f aca="false">23+(26+((21.448-G70*(46.815+G70*(0.00059-G70*0.001813))))/60)/60</f>
        <v>23.436314749136</v>
      </c>
      <c r="R70" s="0" t="n">
        <f aca="false">Q70+0.00256*COS(RADIANS(125.04-1934.136*G70))</f>
        <v>23.4382063981261</v>
      </c>
      <c r="S70" s="0" t="n">
        <f aca="false">DEGREES(ATAN2(COS(RADIANS(P70)),COS(RADIANS(R70))*SIN(RADIANS(P70))))</f>
        <v>-123.333466402414</v>
      </c>
      <c r="T70" s="0" t="n">
        <f aca="false">DEGREES(ASIN(SIN(RADIANS(R70))*SIN(RADIANS(P70))))</f>
        <v>-19.9108403648141</v>
      </c>
      <c r="U70" s="0" t="n">
        <f aca="false">TAN(RADIANS(R70/2))*TAN(RADIANS(R70/2))</f>
        <v>0.0430304330063531</v>
      </c>
      <c r="V70" s="0" t="n">
        <f aca="false">4*DEGREES(U70*SIN(2*RADIANS(I70))-2*K70*SIN(RADIANS(J70))+4*K70*U70*SIN(RADIANS(J70))*COS(2*RADIANS(I70))-0.5*U70*U70*SIN(4*RADIANS(I70))-1.25*K70*K70*SIN(2*RADIANS(J70)))</f>
        <v>14.2246531825513</v>
      </c>
      <c r="W70" s="0" t="n">
        <f aca="false">DEGREES(ACOS(COS(RADIANS(90.833))/(COS(RADIANS($B$3))*COS(RADIANS(T70)))-TAN(RADIANS($B$3))*TAN(RADIANS(T70))))</f>
        <v>43.7505826448013</v>
      </c>
      <c r="X70" s="7" t="n">
        <f aca="false">(720-4*$B$4-V70+$B$5*60)/1440</f>
        <v>0.499857879734339</v>
      </c>
      <c r="Y70" s="7" t="n">
        <f aca="false">X70-W70*4/1440</f>
        <v>0.37832848349878</v>
      </c>
      <c r="Z70" s="7" t="n">
        <f aca="false">X70+W70*4/1440</f>
        <v>0.621387275969899</v>
      </c>
      <c r="AA70" s="10" t="n">
        <f aca="false">8*W70</f>
        <v>350.00466115841</v>
      </c>
      <c r="AB70" s="0" t="n">
        <f aca="false">MOD(E70*1440+V70+4*$B$4-60*$B$5,1440)</f>
        <v>414.204653182552</v>
      </c>
      <c r="AC70" s="0" t="n">
        <f aca="false">IF(AB70/4&lt;0,AB70/4+180,AB70/4-180)</f>
        <v>-76.4488367043621</v>
      </c>
      <c r="AD70" s="0" t="n">
        <f aca="false">DEGREES(ACOS(SIN(RADIANS($B$3))*SIN(RADIANS(T70))+COS(RADIANS($B$3))*COS(RADIANS(T70))*COS(RADIANS(AC70))))</f>
        <v>102.259073193718</v>
      </c>
      <c r="AE70" s="0" t="n">
        <f aca="false">90-AD70</f>
        <v>-12.2590731937181</v>
      </c>
      <c r="AF70" s="0" t="n">
        <f aca="false">IF(AE70&gt;85,0,IF(AE70&gt;5,58.1/TAN(RADIANS(AE70))-0.07/POWER(TAN(RADIANS(AE70)),3)+0.000086/POWER(TAN(RADIANS(AE70)),5),IF(AE70&gt;-0.575,1735+AE70*(-518.2+AE70*(103.4+AE70*(-12.79+AE70*0.711))),-20.772/TAN(RADIANS(AE70)))))/3600</f>
        <v>0.026554727329861</v>
      </c>
      <c r="AG70" s="0" t="n">
        <f aca="false">AE70+AF70</f>
        <v>-12.2325184663882</v>
      </c>
      <c r="AH70" s="0" t="n">
        <f aca="false">IF(AC70&gt;0,MOD(DEGREES(ACOS(((SIN(RADIANS($B$3))*COS(RADIANS(AD70)))-SIN(RADIANS(T70)))/(COS(RADIANS($B$3))*SIN(RADIANS(AD70)))))+180,360),MOD(540-DEGREES(ACOS(((SIN(RADIANS($B$3))*COS(RADIANS(AD70)))-SIN(RADIANS(T70)))/(COS(RADIANS($B$3))*SIN(RADIANS(AD70))))),360))</f>
        <v>110.710724741419</v>
      </c>
    </row>
    <row r="71" customFormat="false" ht="15" hidden="false" customHeight="false" outlineLevel="0" collapsed="false">
      <c r="D71" s="6" t="n">
        <f aca="false">$B$7</f>
        <v>44886</v>
      </c>
      <c r="E71" s="7" t="n">
        <f aca="false">E70+0.1/24</f>
        <v>0.291666666666667</v>
      </c>
      <c r="F71" s="8" t="n">
        <f aca="false">D71+2415018.5+E71-$B$5/24</f>
        <v>2459904.75</v>
      </c>
      <c r="G71" s="9" t="n">
        <f aca="false">(F71-2451545)/36525</f>
        <v>0.228877481177276</v>
      </c>
      <c r="I71" s="0" t="n">
        <f aca="false">MOD(280.46646+G71*(36000.76983+G71*0.0003032),360)</f>
        <v>240.231995016366</v>
      </c>
      <c r="J71" s="0" t="n">
        <f aca="false">357.52911+G71*(35999.05029-0.0001537*G71)</f>
        <v>8596.90105709772</v>
      </c>
      <c r="K71" s="0" t="n">
        <f aca="false">0.016708634-G71*(0.000042037+0.0000001267*G71)</f>
        <v>0.0166990060401567</v>
      </c>
      <c r="L71" s="0" t="n">
        <f aca="false">SIN(RADIANS(J71))*(1.914602-G71*(0.004817+0.000014*G71))+SIN(RADIANS(2*J71))*(0.019993-0.000101*G71)+SIN(RADIANS(3*J71))*0.000289</f>
        <v>-1.32756732363928</v>
      </c>
      <c r="M71" s="0" t="n">
        <f aca="false">I71+L71</f>
        <v>238.904427692726</v>
      </c>
      <c r="N71" s="0" t="n">
        <f aca="false">J71+L71</f>
        <v>8595.57348977408</v>
      </c>
      <c r="O71" s="0" t="n">
        <f aca="false">(1.000001018*(1-K71*K71))/(1+K71*COS(RADIANS(N71)))</f>
        <v>0.987940402184003</v>
      </c>
      <c r="P71" s="0" t="n">
        <f aca="false">M71-0.00569-0.00478*SIN(RADIANS(125.04-1934.136*G71))</f>
        <v>238.895517003221</v>
      </c>
      <c r="Q71" s="0" t="n">
        <f aca="false">23+(26+((21.448-G71*(46.815+G71*(0.00059-G71*0.001813))))/60)/60</f>
        <v>23.4363147476525</v>
      </c>
      <c r="R71" s="0" t="n">
        <f aca="false">Q71+0.00256*COS(RADIANS(125.04-1934.136*G71))</f>
        <v>23.438206403285</v>
      </c>
      <c r="S71" s="0" t="n">
        <f aca="false">DEGREES(ATAN2(COS(RADIANS(P71)),COS(RADIANS(R71))*SIN(RADIANS(P71))))</f>
        <v>-123.329099926951</v>
      </c>
      <c r="T71" s="0" t="n">
        <f aca="false">DEGREES(ASIN(SIN(RADIANS(R71))*SIN(RADIANS(P71))))</f>
        <v>-19.9117598906292</v>
      </c>
      <c r="U71" s="0" t="n">
        <f aca="false">TAN(RADIANS(R71/2))*TAN(RADIANS(R71/2))</f>
        <v>0.0430304330258346</v>
      </c>
      <c r="V71" s="0" t="n">
        <f aca="false">4*DEGREES(U71*SIN(2*RADIANS(I71))-2*K71*SIN(RADIANS(J71))+4*K71*U71*SIN(RADIANS(J71))*COS(2*RADIANS(I71))-0.5*U71*U71*SIN(4*RADIANS(I71))-1.25*K71*K71*SIN(2*RADIANS(J71)))</f>
        <v>14.2236028794209</v>
      </c>
      <c r="W71" s="0" t="n">
        <f aca="false">DEGREES(ACOS(COS(RADIANS(90.833))/(COS(RADIANS($B$3))*COS(RADIANS(T71)))-TAN(RADIANS($B$3))*TAN(RADIANS(T71))))</f>
        <v>43.7474510694862</v>
      </c>
      <c r="X71" s="7" t="n">
        <f aca="false">(720-4*$B$4-V71+$B$5*60)/1440</f>
        <v>0.499858609111513</v>
      </c>
      <c r="Y71" s="7" t="n">
        <f aca="false">X71-W71*4/1440</f>
        <v>0.378337911696274</v>
      </c>
      <c r="Z71" s="7" t="n">
        <f aca="false">X71+W71*4/1440</f>
        <v>0.621379306526753</v>
      </c>
      <c r="AA71" s="10" t="n">
        <f aca="false">8*W71</f>
        <v>349.979608555889</v>
      </c>
      <c r="AB71" s="0" t="n">
        <f aca="false">MOD(E71*1440+V71+4*$B$4-60*$B$5,1440)</f>
        <v>420.203602879421</v>
      </c>
      <c r="AC71" s="0" t="n">
        <f aca="false">IF(AB71/4&lt;0,AB71/4+180,AB71/4-180)</f>
        <v>-74.9490992801447</v>
      </c>
      <c r="AD71" s="0" t="n">
        <f aca="false">DEGREES(ACOS(SIN(RADIANS($B$3))*SIN(RADIANS(T71))+COS(RADIANS($B$3))*COS(RADIANS(T71))*COS(RADIANS(AC71))))</f>
        <v>101.657876734532</v>
      </c>
      <c r="AE71" s="0" t="n">
        <f aca="false">90-AD71</f>
        <v>-11.6578767345319</v>
      </c>
      <c r="AF71" s="0" t="n">
        <f aca="false">IF(AE71&gt;85,0,IF(AE71&gt;5,58.1/TAN(RADIANS(AE71))-0.07/POWER(TAN(RADIANS(AE71)),3)+0.000086/POWER(TAN(RADIANS(AE71)),5),IF(AE71&gt;-0.575,1735+AE71*(-518.2+AE71*(103.4+AE71*(-12.79+AE71*0.711))),-20.772/TAN(RADIANS(AE71)))))/3600</f>
        <v>0.0279657994764129</v>
      </c>
      <c r="AG71" s="0" t="n">
        <f aca="false">AE71+AF71</f>
        <v>-11.6299109350555</v>
      </c>
      <c r="AH71" s="0" t="n">
        <f aca="false">IF(AC71&gt;0,MOD(DEGREES(ACOS(((SIN(RADIANS($B$3))*COS(RADIANS(AD71)))-SIN(RADIANS(T71)))/(COS(RADIANS($B$3))*SIN(RADIANS(AD71)))))+180,360),MOD(540-DEGREES(ACOS(((SIN(RADIANS($B$3))*COS(RADIANS(AD71)))-SIN(RADIANS(T71)))/(COS(RADIANS($B$3))*SIN(RADIANS(AD71))))),360))</f>
        <v>112.014523164119</v>
      </c>
    </row>
    <row r="72" customFormat="false" ht="15" hidden="false" customHeight="false" outlineLevel="0" collapsed="false">
      <c r="D72" s="6" t="n">
        <f aca="false">$B$7</f>
        <v>44886</v>
      </c>
      <c r="E72" s="7" t="n">
        <f aca="false">E71+0.1/24</f>
        <v>0.295833333333334</v>
      </c>
      <c r="F72" s="8" t="n">
        <f aca="false">D72+2415018.5+E72-$B$5/24</f>
        <v>2459904.75416667</v>
      </c>
      <c r="G72" s="9" t="n">
        <f aca="false">(F72-2451545)/36525</f>
        <v>0.228877595254398</v>
      </c>
      <c r="I72" s="0" t="n">
        <f aca="false">MOD(280.46646+G72*(36000.76983+G72*0.0003032),360)</f>
        <v>240.236101880597</v>
      </c>
      <c r="J72" s="0" t="n">
        <f aca="false">357.52911+G72*(35999.05029-0.0001537*G72)</f>
        <v>8596.90516376577</v>
      </c>
      <c r="K72" s="0" t="n">
        <f aca="false">0.016708634-G72*(0.000042037+0.0000001267*G72)</f>
        <v>0.0166990060353547</v>
      </c>
      <c r="L72" s="0" t="n">
        <f aca="false">SIN(RADIANS(J72))*(1.914602-G72*(0.004817+0.000014*G72))+SIN(RADIANS(2*J72))*(0.019993-0.000101*G72)+SIN(RADIANS(3*J72))*0.000289</f>
        <v>-1.32746702588132</v>
      </c>
      <c r="M72" s="0" t="n">
        <f aca="false">I72+L72</f>
        <v>238.908634854716</v>
      </c>
      <c r="N72" s="0" t="n">
        <f aca="false">J72+L72</f>
        <v>8595.57769673989</v>
      </c>
      <c r="O72" s="0" t="n">
        <f aca="false">(1.000001018*(1-K72*K72))/(1+K72*COS(RADIANS(N72)))</f>
        <v>0.987939564278749</v>
      </c>
      <c r="P72" s="0" t="n">
        <f aca="false">M72-0.00569-0.00478*SIN(RADIANS(125.04-1934.136*G72))</f>
        <v>238.899724178812</v>
      </c>
      <c r="Q72" s="0" t="n">
        <f aca="false">23+(26+((21.448-G72*(46.815+G72*(0.00059-G72*0.001813))))/60)/60</f>
        <v>23.436314746169</v>
      </c>
      <c r="R72" s="0" t="n">
        <f aca="false">Q72+0.00256*COS(RADIANS(125.04-1934.136*G72))</f>
        <v>23.4382064084439</v>
      </c>
      <c r="S72" s="0" t="n">
        <f aca="false">DEGREES(ATAN2(COS(RADIANS(P72)),COS(RADIANS(R72))*SIN(RADIANS(P72))))</f>
        <v>-123.324733392828</v>
      </c>
      <c r="T72" s="0" t="n">
        <f aca="false">DEGREES(ASIN(SIN(RADIANS(R72))*SIN(RADIANS(P72))))</f>
        <v>-19.9126793115499</v>
      </c>
      <c r="U72" s="0" t="n">
        <f aca="false">TAN(RADIANS(R72/2))*TAN(RADIANS(R72/2))</f>
        <v>0.0430304330453159</v>
      </c>
      <c r="V72" s="0" t="n">
        <f aca="false">4*DEGREES(U72*SIN(2*RADIANS(I72))-2*K72*SIN(RADIANS(J72))+4*K72*U72*SIN(RADIANS(J72))*COS(2*RADIANS(I72))-0.5*U72*U72*SIN(4*RADIANS(I72))-1.25*K72*K72*SIN(2*RADIANS(J72)))</f>
        <v>14.2225523433482</v>
      </c>
      <c r="W72" s="0" t="n">
        <f aca="false">DEGREES(ACOS(COS(RADIANS(90.833))/(COS(RADIANS($B$3))*COS(RADIANS(T72)))-TAN(RADIANS($B$3))*TAN(RADIANS(T72))))</f>
        <v>43.7443196369705</v>
      </c>
      <c r="X72" s="7" t="n">
        <f aca="false">(720-4*$B$4-V72+$B$5*60)/1440</f>
        <v>0.499859338650453</v>
      </c>
      <c r="Y72" s="7" t="n">
        <f aca="false">X72-W72*4/1440</f>
        <v>0.378347339658868</v>
      </c>
      <c r="Z72" s="7" t="n">
        <f aca="false">X72+W72*4/1440</f>
        <v>0.621371337642037</v>
      </c>
      <c r="AA72" s="10" t="n">
        <f aca="false">8*W72</f>
        <v>349.954557095764</v>
      </c>
      <c r="AB72" s="0" t="n">
        <f aca="false">MOD(E72*1440+V72+4*$B$4-60*$B$5,1440)</f>
        <v>426.202552343349</v>
      </c>
      <c r="AC72" s="0" t="n">
        <f aca="false">IF(AB72/4&lt;0,AB72/4+180,AB72/4-180)</f>
        <v>-73.4493619141629</v>
      </c>
      <c r="AD72" s="0" t="n">
        <f aca="false">DEGREES(ACOS(SIN(RADIANS($B$3))*SIN(RADIANS(T72))+COS(RADIANS($B$3))*COS(RADIANS(T72))*COS(RADIANS(AC72))))</f>
        <v>101.062195265354</v>
      </c>
      <c r="AE72" s="0" t="n">
        <f aca="false">90-AD72</f>
        <v>-11.0621952653545</v>
      </c>
      <c r="AF72" s="0" t="n">
        <f aca="false">IF(AE72&gt;85,0,IF(AE72&gt;5,58.1/TAN(RADIANS(AE72))-0.07/POWER(TAN(RADIANS(AE72)),3)+0.000086/POWER(TAN(RADIANS(AE72)),5),IF(AE72&gt;-0.575,1735+AE72*(-518.2+AE72*(103.4+AE72*(-12.79+AE72*0.711))),-20.772/TAN(RADIANS(AE72)))))/3600</f>
        <v>0.0295129985693644</v>
      </c>
      <c r="AG72" s="0" t="n">
        <f aca="false">AE72+AF72</f>
        <v>-11.0326822667851</v>
      </c>
      <c r="AH72" s="0" t="n">
        <f aca="false">IF(AC72&gt;0,MOD(DEGREES(ACOS(((SIN(RADIANS($B$3))*COS(RADIANS(AD72)))-SIN(RADIANS(T72)))/(COS(RADIANS($B$3))*SIN(RADIANS(AD72)))))+180,360),MOD(540-DEGREES(ACOS(((SIN(RADIANS($B$3))*COS(RADIANS(AD72)))-SIN(RADIANS(T72)))/(COS(RADIANS($B$3))*SIN(RADIANS(AD72))))),360))</f>
        <v>113.318141544355</v>
      </c>
    </row>
    <row r="73" customFormat="false" ht="15" hidden="false" customHeight="false" outlineLevel="0" collapsed="false">
      <c r="D73" s="6" t="n">
        <f aca="false">$B$7</f>
        <v>44886</v>
      </c>
      <c r="E73" s="7" t="n">
        <f aca="false">E72+0.1/24</f>
        <v>0.3</v>
      </c>
      <c r="F73" s="8" t="n">
        <f aca="false">D73+2415018.5+E73-$B$5/24</f>
        <v>2459904.75833333</v>
      </c>
      <c r="G73" s="9" t="n">
        <f aca="false">(F73-2451545)/36525</f>
        <v>0.228877709331507</v>
      </c>
      <c r="I73" s="0" t="n">
        <f aca="false">MOD(280.46646+G73*(36000.76983+G73*0.0003032),360)</f>
        <v>240.240208744368</v>
      </c>
      <c r="J73" s="0" t="n">
        <f aca="false">357.52911+G73*(35999.05029-0.0001537*G73)</f>
        <v>8596.90927043336</v>
      </c>
      <c r="K73" s="0" t="n">
        <f aca="false">0.016708634-G73*(0.000042037+0.0000001267*G73)</f>
        <v>0.0166990060305526</v>
      </c>
      <c r="L73" s="0" t="n">
        <f aca="false">SIN(RADIANS(J73))*(1.914602-G73*(0.004817+0.000014*G73))+SIN(RADIANS(2*J73))*(0.019993-0.000101*G73)+SIN(RADIANS(3*J73))*0.000289</f>
        <v>-1.32736672099878</v>
      </c>
      <c r="M73" s="0" t="n">
        <f aca="false">I73+L73</f>
        <v>238.912842023369</v>
      </c>
      <c r="N73" s="0" t="n">
        <f aca="false">J73+L73</f>
        <v>8595.58190371236</v>
      </c>
      <c r="O73" s="0" t="n">
        <f aca="false">(1.000001018*(1-K73*K73))/(1+K73*COS(RADIANS(N73)))</f>
        <v>0.987938726436365</v>
      </c>
      <c r="P73" s="0" t="n">
        <f aca="false">M73-0.00569-0.00478*SIN(RADIANS(125.04-1934.136*G73))</f>
        <v>238.903931361068</v>
      </c>
      <c r="Q73" s="0" t="n">
        <f aca="false">23+(26+((21.448-G73*(46.815+G73*(0.00059-G73*0.001813))))/60)/60</f>
        <v>23.4363147446855</v>
      </c>
      <c r="R73" s="0" t="n">
        <f aca="false">Q73+0.00256*COS(RADIANS(125.04-1934.136*G73))</f>
        <v>23.4382064136028</v>
      </c>
      <c r="S73" s="0" t="n">
        <f aca="false">DEGREES(ATAN2(COS(RADIANS(P73)),COS(RADIANS(R73))*SIN(RADIANS(P73))))</f>
        <v>-123.320366801025</v>
      </c>
      <c r="T73" s="0" t="n">
        <f aca="false">DEGREES(ASIN(SIN(RADIANS(R73))*SIN(RADIANS(P73))))</f>
        <v>-19.913598627363</v>
      </c>
      <c r="U73" s="0" t="n">
        <f aca="false">TAN(RADIANS(R73/2))*TAN(RADIANS(R73/2))</f>
        <v>0.0430304330647971</v>
      </c>
      <c r="V73" s="0" t="n">
        <f aca="false">4*DEGREES(U73*SIN(2*RADIANS(I73))-2*K73*SIN(RADIANS(J73))+4*K73*U73*SIN(RADIANS(J73))*COS(2*RADIANS(I73))-0.5*U73*U73*SIN(4*RADIANS(I73))-1.25*K73*K73*SIN(2*RADIANS(J73)))</f>
        <v>14.2215015745821</v>
      </c>
      <c r="W73" s="0" t="n">
        <f aca="false">DEGREES(ACOS(COS(RADIANS(90.833))/(COS(RADIANS($B$3))*COS(RADIANS(T73)))-TAN(RADIANS($B$3))*TAN(RADIANS(T73))))</f>
        <v>43.7411883480059</v>
      </c>
      <c r="X73" s="7" t="n">
        <f aca="false">(720-4*$B$4-V73+$B$5*60)/1440</f>
        <v>0.499860068350985</v>
      </c>
      <c r="Y73" s="7" t="n">
        <f aca="false">X73-W73*4/1440</f>
        <v>0.378356767384302</v>
      </c>
      <c r="Z73" s="7" t="n">
        <f aca="false">X73+W73*4/1440</f>
        <v>0.621363369317668</v>
      </c>
      <c r="AA73" s="10" t="n">
        <f aca="false">8*W73</f>
        <v>349.929506784047</v>
      </c>
      <c r="AB73" s="0" t="n">
        <f aca="false">MOD(E73*1440+V73+4*$B$4-60*$B$5,1440)</f>
        <v>432.201501574582</v>
      </c>
      <c r="AC73" s="0" t="n">
        <f aca="false">IF(AB73/4&lt;0,AB73/4+180,AB73/4-180)</f>
        <v>-71.9496246063544</v>
      </c>
      <c r="AD73" s="0" t="n">
        <f aca="false">DEGREES(ACOS(SIN(RADIANS($B$3))*SIN(RADIANS(T73))+COS(RADIANS($B$3))*COS(RADIANS(T73))*COS(RADIANS(AC73))))</f>
        <v>100.472337508363</v>
      </c>
      <c r="AE73" s="0" t="n">
        <f aca="false">90-AD73</f>
        <v>-10.4723375083625</v>
      </c>
      <c r="AF73" s="0" t="n">
        <f aca="false">IF(AE73&gt;85,0,IF(AE73&gt;5,58.1/TAN(RADIANS(AE73))-0.07/POWER(TAN(RADIANS(AE73)),3)+0.000086/POWER(TAN(RADIANS(AE73)),5),IF(AE73&gt;-0.575,1735+AE73*(-518.2+AE73*(103.4+AE73*(-12.79+AE73*0.711))),-20.772/TAN(RADIANS(AE73)))))/3600</f>
        <v>0.031216237044186</v>
      </c>
      <c r="AG73" s="0" t="n">
        <f aca="false">AE73+AF73</f>
        <v>-10.4411212713183</v>
      </c>
      <c r="AH73" s="0" t="n">
        <f aca="false">IF(AC73&gt;0,MOD(DEGREES(ACOS(((SIN(RADIANS($B$3))*COS(RADIANS(AD73)))-SIN(RADIANS(T73)))/(COS(RADIANS($B$3))*SIN(RADIANS(AD73)))))+180,360),MOD(540-DEGREES(ACOS(((SIN(RADIANS($B$3))*COS(RADIANS(AD73)))-SIN(RADIANS(T73)))/(COS(RADIANS($B$3))*SIN(RADIANS(AD73))))),360))</f>
        <v>114.621862419874</v>
      </c>
    </row>
    <row r="74" customFormat="false" ht="15" hidden="false" customHeight="false" outlineLevel="0" collapsed="false">
      <c r="D74" s="6" t="n">
        <f aca="false">$B$7</f>
        <v>44886</v>
      </c>
      <c r="E74" s="7" t="n">
        <f aca="false">E73+0.1/24</f>
        <v>0.304166666666667</v>
      </c>
      <c r="F74" s="8" t="n">
        <f aca="false">D74+2415018.5+E74-$B$5/24</f>
        <v>2459904.7625</v>
      </c>
      <c r="G74" s="9" t="n">
        <f aca="false">(F74-2451545)/36525</f>
        <v>0.228877823408629</v>
      </c>
      <c r="I74" s="0" t="n">
        <f aca="false">MOD(280.46646+G74*(36000.76983+G74*0.0003032),360)</f>
        <v>240.244315608599</v>
      </c>
      <c r="J74" s="0" t="n">
        <f aca="false">357.52911+G74*(35999.05029-0.0001537*G74)</f>
        <v>8596.9133771014</v>
      </c>
      <c r="K74" s="0" t="n">
        <f aca="false">0.016708634-G74*(0.000042037+0.0000001267*G74)</f>
        <v>0.0166990060257505</v>
      </c>
      <c r="L74" s="0" t="n">
        <f aca="false">SIN(RADIANS(J74))*(1.914602-G74*(0.004817+0.000014*G74))+SIN(RADIANS(2*J74))*(0.019993-0.000101*G74)+SIN(RADIANS(3*J74))*0.000289</f>
        <v>-1.32726640896977</v>
      </c>
      <c r="M74" s="0" t="n">
        <f aca="false">I74+L74</f>
        <v>238.917049199629</v>
      </c>
      <c r="N74" s="0" t="n">
        <f aca="false">J74+L74</f>
        <v>8595.58611069243</v>
      </c>
      <c r="O74" s="0" t="n">
        <f aca="false">(1.000001018*(1-K74*K74))/(1+K74*COS(RADIANS(N74)))</f>
        <v>0.987937888656666</v>
      </c>
      <c r="P74" s="0" t="n">
        <f aca="false">M74-0.00569-0.00478*SIN(RADIANS(125.04-1934.136*G74))</f>
        <v>238.90813855093</v>
      </c>
      <c r="Q74" s="0" t="n">
        <f aca="false">23+(26+((21.448-G74*(46.815+G74*(0.00059-G74*0.001813))))/60)/60</f>
        <v>23.4363147432021</v>
      </c>
      <c r="R74" s="0" t="n">
        <f aca="false">Q74+0.00256*COS(RADIANS(125.04-1934.136*G74))</f>
        <v>23.4382064187616</v>
      </c>
      <c r="S74" s="0" t="n">
        <f aca="false">DEGREES(ATAN2(COS(RADIANS(P74)),COS(RADIANS(R74))*SIN(RADIANS(P74))))</f>
        <v>-123.316000150568</v>
      </c>
      <c r="T74" s="0" t="n">
        <f aca="false">DEGREES(ASIN(SIN(RADIANS(R74))*SIN(RADIANS(P74))))</f>
        <v>-19.9145178382673</v>
      </c>
      <c r="U74" s="0" t="n">
        <f aca="false">TAN(RADIANS(R74/2))*TAN(RADIANS(R74/2))</f>
        <v>0.0430304330842782</v>
      </c>
      <c r="V74" s="0" t="n">
        <f aca="false">4*DEGREES(U74*SIN(2*RADIANS(I74))-2*K74*SIN(RADIANS(J74))+4*K74*U74*SIN(RADIANS(J74))*COS(2*RADIANS(I74))-0.5*U74*U74*SIN(4*RADIANS(I74))-1.25*K74*K74*SIN(2*RADIANS(J74)))</f>
        <v>14.220450572901</v>
      </c>
      <c r="W74" s="0" t="n">
        <f aca="false">DEGREES(ACOS(COS(RADIANS(90.833))/(COS(RADIANS($B$3))*COS(RADIANS(T74)))-TAN(RADIANS($B$3))*TAN(RADIANS(T74))))</f>
        <v>43.7380572019404</v>
      </c>
      <c r="X74" s="7" t="n">
        <f aca="false">(720-4*$B$4-V74+$B$5*60)/1440</f>
        <v>0.499860798213263</v>
      </c>
      <c r="Y74" s="7" t="n">
        <f aca="false">X74-W74*4/1440</f>
        <v>0.37836619487454</v>
      </c>
      <c r="Z74" s="7" t="n">
        <f aca="false">X74+W74*4/1440</f>
        <v>0.621355401551987</v>
      </c>
      <c r="AA74" s="10" t="n">
        <f aca="false">8*W74</f>
        <v>349.904457615523</v>
      </c>
      <c r="AB74" s="0" t="n">
        <f aca="false">MOD(E74*1440+V74+4*$B$4-60*$B$5,1440)</f>
        <v>438.200450572901</v>
      </c>
      <c r="AC74" s="0" t="n">
        <f aca="false">IF(AB74/4&lt;0,AB74/4+180,AB74/4-180)</f>
        <v>-70.4498873567747</v>
      </c>
      <c r="AD74" s="0" t="n">
        <f aca="false">DEGREES(ACOS(SIN(RADIANS($B$3))*SIN(RADIANS(T74))+COS(RADIANS($B$3))*COS(RADIANS(T74))*COS(RADIANS(AC74))))</f>
        <v>99.8886104784714</v>
      </c>
      <c r="AE74" s="0" t="n">
        <f aca="false">90-AD74</f>
        <v>-9.88861047847142</v>
      </c>
      <c r="AF74" s="0" t="n">
        <f aca="false">IF(AE74&gt;85,0,IF(AE74&gt;5,58.1/TAN(RADIANS(AE74))-0.07/POWER(TAN(RADIANS(AE74)),3)+0.000086/POWER(TAN(RADIANS(AE74)),5),IF(AE74&gt;-0.575,1735+AE74*(-518.2+AE74*(103.4+AE74*(-12.79+AE74*0.711))),-20.772/TAN(RADIANS(AE74)))))/3600</f>
        <v>0.0330994560633493</v>
      </c>
      <c r="AG74" s="0" t="n">
        <f aca="false">AE74+AF74</f>
        <v>-9.85551102240807</v>
      </c>
      <c r="AH74" s="0" t="n">
        <f aca="false">IF(AC74&gt;0,MOD(DEGREES(ACOS(((SIN(RADIANS($B$3))*COS(RADIANS(AD74)))-SIN(RADIANS(T74)))/(COS(RADIANS($B$3))*SIN(RADIANS(AD74)))))+180,360),MOD(540-DEGREES(ACOS(((SIN(RADIANS($B$3))*COS(RADIANS(AD74)))-SIN(RADIANS(T74)))/(COS(RADIANS($B$3))*SIN(RADIANS(AD74))))),360))</f>
        <v>115.92595842238</v>
      </c>
    </row>
    <row r="75" customFormat="false" ht="15" hidden="false" customHeight="false" outlineLevel="0" collapsed="false">
      <c r="D75" s="6" t="n">
        <f aca="false">$B$7</f>
        <v>44886</v>
      </c>
      <c r="E75" s="7" t="n">
        <f aca="false">E74+0.1/24</f>
        <v>0.308333333333333</v>
      </c>
      <c r="F75" s="8" t="n">
        <f aca="false">D75+2415018.5+E75-$B$5/24</f>
        <v>2459904.76666667</v>
      </c>
      <c r="G75" s="9" t="n">
        <f aca="false">(F75-2451545)/36525</f>
        <v>0.228877937485739</v>
      </c>
      <c r="I75" s="0" t="n">
        <f aca="false">MOD(280.46646+G75*(36000.76983+G75*0.0003032),360)</f>
        <v>240.24842247237</v>
      </c>
      <c r="J75" s="0" t="n">
        <f aca="false">357.52911+G75*(35999.05029-0.0001537*G75)</f>
        <v>8596.91748376899</v>
      </c>
      <c r="K75" s="0" t="n">
        <f aca="false">0.016708634-G75*(0.000042037+0.0000001267*G75)</f>
        <v>0.0166990060209484</v>
      </c>
      <c r="L75" s="0" t="n">
        <f aca="false">SIN(RADIANS(J75))*(1.914602-G75*(0.004817+0.000014*G75))+SIN(RADIANS(2*J75))*(0.019993-0.000101*G75)+SIN(RADIANS(3*J75))*0.000289</f>
        <v>-1.32716608981716</v>
      </c>
      <c r="M75" s="0" t="n">
        <f aca="false">I75+L75</f>
        <v>238.921256382553</v>
      </c>
      <c r="N75" s="0" t="n">
        <f aca="false">J75+L75</f>
        <v>8595.59031767917</v>
      </c>
      <c r="O75" s="0" t="n">
        <f aca="false">(1.000001018*(1-K75*K75))/(1+K75*COS(RADIANS(N75)))</f>
        <v>0.987937050939846</v>
      </c>
      <c r="P75" s="0" t="n">
        <f aca="false">M75-0.00569-0.00478*SIN(RADIANS(125.04-1934.136*G75))</f>
        <v>238.912345747455</v>
      </c>
      <c r="Q75" s="0" t="n">
        <f aca="false">23+(26+((21.448-G75*(46.815+G75*(0.00059-G75*0.001813))))/60)/60</f>
        <v>23.4363147417186</v>
      </c>
      <c r="R75" s="0" t="n">
        <f aca="false">Q75+0.00256*COS(RADIANS(125.04-1934.136*G75))</f>
        <v>23.4382064239204</v>
      </c>
      <c r="S75" s="0" t="n">
        <f aca="false">DEGREES(ATAN2(COS(RADIANS(P75)),COS(RADIANS(R75))*SIN(RADIANS(P75))))</f>
        <v>-123.311633442438</v>
      </c>
      <c r="T75" s="0" t="n">
        <f aca="false">DEGREES(ASIN(SIN(RADIANS(R75))*SIN(RADIANS(P75))))</f>
        <v>-19.9154369440495</v>
      </c>
      <c r="U75" s="0" t="n">
        <f aca="false">TAN(RADIANS(R75/2))*TAN(RADIANS(R75/2))</f>
        <v>0.0430304331037592</v>
      </c>
      <c r="V75" s="0" t="n">
        <f aca="false">4*DEGREES(U75*SIN(2*RADIANS(I75))-2*K75*SIN(RADIANS(J75))+4*K75*U75*SIN(RADIANS(J75))*COS(2*RADIANS(I75))-0.5*U75*U75*SIN(4*RADIANS(I75))-1.25*K75*K75*SIN(2*RADIANS(J75)))</f>
        <v>14.2193993385533</v>
      </c>
      <c r="W75" s="0" t="n">
        <f aca="false">DEGREES(ACOS(COS(RADIANS(90.833))/(COS(RADIANS($B$3))*COS(RADIANS(T75)))-TAN(RADIANS($B$3))*TAN(RADIANS(T75))))</f>
        <v>43.7349261995255</v>
      </c>
      <c r="X75" s="7" t="n">
        <f aca="false">(720-4*$B$4-V75+$B$5*60)/1440</f>
        <v>0.499861528237116</v>
      </c>
      <c r="Y75" s="7" t="n">
        <f aca="false">X75-W75*4/1440</f>
        <v>0.378375622127323</v>
      </c>
      <c r="Z75" s="7" t="n">
        <f aca="false">X75+W75*4/1440</f>
        <v>0.621347434346909</v>
      </c>
      <c r="AA75" s="10" t="n">
        <f aca="false">8*W75</f>
        <v>349.879409596204</v>
      </c>
      <c r="AB75" s="0" t="n">
        <f aca="false">MOD(E75*1440+V75+4*$B$4-60*$B$5,1440)</f>
        <v>444.199399338554</v>
      </c>
      <c r="AC75" s="0" t="n">
        <f aca="false">IF(AB75/4&lt;0,AB75/4+180,AB75/4-180)</f>
        <v>-68.9501501653616</v>
      </c>
      <c r="AD75" s="0" t="n">
        <f aca="false">DEGREES(ACOS(SIN(RADIANS($B$3))*SIN(RADIANS(T75))+COS(RADIANS($B$3))*COS(RADIANS(T75))*COS(RADIANS(AC75))))</f>
        <v>99.3113195306899</v>
      </c>
      <c r="AE75" s="0" t="n">
        <f aca="false">90-AD75</f>
        <v>-9.31131953068987</v>
      </c>
      <c r="AF75" s="0" t="n">
        <f aca="false">IF(AE75&gt;85,0,IF(AE75&gt;5,58.1/TAN(RADIANS(AE75))-0.07/POWER(TAN(RADIANS(AE75)),3)+0.000086/POWER(TAN(RADIANS(AE75)),5),IF(AE75&gt;-0.575,1735+AE75*(-518.2+AE75*(103.4+AE75*(-12.79+AE75*0.711))),-20.772/TAN(RADIANS(AE75)))))/3600</f>
        <v>0.0351916930778016</v>
      </c>
      <c r="AG75" s="0" t="n">
        <f aca="false">AE75+AF75</f>
        <v>-9.27612783761207</v>
      </c>
      <c r="AH75" s="0" t="n">
        <f aca="false">IF(AC75&gt;0,MOD(DEGREES(ACOS(((SIN(RADIANS($B$3))*COS(RADIANS(AD75)))-SIN(RADIANS(T75)))/(COS(RADIANS($B$3))*SIN(RADIANS(AD75)))))+180,360),MOD(540-DEGREES(ACOS(((SIN(RADIANS($B$3))*COS(RADIANS(AD75)))-SIN(RADIANS(T75)))/(COS(RADIANS($B$3))*SIN(RADIANS(AD75))))),360))</f>
        <v>117.230692128386</v>
      </c>
    </row>
    <row r="76" customFormat="false" ht="15" hidden="false" customHeight="false" outlineLevel="0" collapsed="false">
      <c r="D76" s="6" t="n">
        <f aca="false">$B$7</f>
        <v>44886</v>
      </c>
      <c r="E76" s="7" t="n">
        <f aca="false">E75+0.1/24</f>
        <v>0.3125</v>
      </c>
      <c r="F76" s="8" t="n">
        <f aca="false">D76+2415018.5+E76-$B$5/24</f>
        <v>2459904.77083333</v>
      </c>
      <c r="G76" s="9" t="n">
        <f aca="false">(F76-2451545)/36525</f>
        <v>0.228878051562861</v>
      </c>
      <c r="I76" s="0" t="n">
        <f aca="false">MOD(280.46646+G76*(36000.76983+G76*0.0003032),360)</f>
        <v>240.252529336602</v>
      </c>
      <c r="J76" s="0" t="n">
        <f aca="false">357.52911+G76*(35999.05029-0.0001537*G76)</f>
        <v>8596.92159043704</v>
      </c>
      <c r="K76" s="0" t="n">
        <f aca="false">0.016708634-G76*(0.000042037+0.0000001267*G76)</f>
        <v>0.0166990060161464</v>
      </c>
      <c r="L76" s="0" t="n">
        <f aca="false">SIN(RADIANS(J76))*(1.914602-G76*(0.004817+0.000014*G76))+SIN(RADIANS(2*J76))*(0.019993-0.000101*G76)+SIN(RADIANS(3*J76))*0.000289</f>
        <v>-1.32706576351911</v>
      </c>
      <c r="M76" s="0" t="n">
        <f aca="false">I76+L76</f>
        <v>238.925463573082</v>
      </c>
      <c r="N76" s="0" t="n">
        <f aca="false">J76+L76</f>
        <v>8595.59452467352</v>
      </c>
      <c r="O76" s="0" t="n">
        <f aca="false">(1.000001018*(1-K76*K76))/(1+K76*COS(RADIANS(N76)))</f>
        <v>0.987936213285722</v>
      </c>
      <c r="P76" s="0" t="n">
        <f aca="false">M76-0.00569-0.00478*SIN(RADIANS(125.04-1934.136*G76))</f>
        <v>238.916552951587</v>
      </c>
      <c r="Q76" s="0" t="n">
        <f aca="false">23+(26+((21.448-G76*(46.815+G76*(0.00059-G76*0.001813))))/60)/60</f>
        <v>23.4363147402351</v>
      </c>
      <c r="R76" s="0" t="n">
        <f aca="false">Q76+0.00256*COS(RADIANS(125.04-1934.136*G76))</f>
        <v>23.4382064290792</v>
      </c>
      <c r="S76" s="0" t="n">
        <f aca="false">DEGREES(ATAN2(COS(RADIANS(P76)),COS(RADIANS(R76))*SIN(RADIANS(P76))))</f>
        <v>-123.30726667566</v>
      </c>
      <c r="T76" s="0" t="n">
        <f aca="false">DEGREES(ASIN(SIN(RADIANS(R76))*SIN(RADIANS(P76))))</f>
        <v>-19.9163559449083</v>
      </c>
      <c r="U76" s="0" t="n">
        <f aca="false">TAN(RADIANS(R76/2))*TAN(RADIANS(R76/2))</f>
        <v>0.0430304331232401</v>
      </c>
      <c r="V76" s="0" t="n">
        <f aca="false">4*DEGREES(U76*SIN(2*RADIANS(I76))-2*K76*SIN(RADIANS(J76))+4*K76*U76*SIN(RADIANS(J76))*COS(2*RADIANS(I76))-0.5*U76*U76*SIN(4*RADIANS(I76))-1.25*K76*K76*SIN(2*RADIANS(J76)))</f>
        <v>14.2183478713177</v>
      </c>
      <c r="W76" s="0" t="n">
        <f aca="false">DEGREES(ACOS(COS(RADIANS(90.833))/(COS(RADIANS($B$3))*COS(RADIANS(T76)))-TAN(RADIANS($B$3))*TAN(RADIANS(T76))))</f>
        <v>43.7317953401094</v>
      </c>
      <c r="X76" s="7" t="n">
        <f aca="false">(720-4*$B$4-V76+$B$5*60)/1440</f>
        <v>0.499862258422696</v>
      </c>
      <c r="Y76" s="7" t="n">
        <f aca="false">X76-W76*4/1440</f>
        <v>0.378385049144614</v>
      </c>
      <c r="Z76" s="7" t="n">
        <f aca="false">X76+W76*4/1440</f>
        <v>0.621339467700778</v>
      </c>
      <c r="AA76" s="10" t="n">
        <f aca="false">8*W76</f>
        <v>349.854362720876</v>
      </c>
      <c r="AB76" s="0" t="n">
        <f aca="false">MOD(E76*1440+V76+4*$B$4-60*$B$5,1440)</f>
        <v>450.198347871318</v>
      </c>
      <c r="AC76" s="0" t="n">
        <f aca="false">IF(AB76/4&lt;0,AB76/4+180,AB76/4-180)</f>
        <v>-67.4504130321705</v>
      </c>
      <c r="AD76" s="0" t="n">
        <f aca="false">DEGREES(ACOS(SIN(RADIANS($B$3))*SIN(RADIANS(T76))+COS(RADIANS($B$3))*COS(RADIANS(T76))*COS(RADIANS(AC76))))</f>
        <v>98.740768391566</v>
      </c>
      <c r="AE76" s="0" t="n">
        <f aca="false">90-AD76</f>
        <v>-8.74076839156597</v>
      </c>
      <c r="AF76" s="0" t="n">
        <f aca="false">IF(AE76&gt;85,0,IF(AE76&gt;5,58.1/TAN(RADIANS(AE76))-0.07/POWER(TAN(RADIANS(AE76)),3)+0.000086/POWER(TAN(RADIANS(AE76)),5),IF(AE76&gt;-0.575,1735+AE76*(-518.2+AE76*(103.4+AE76*(-12.79+AE76*0.711))),-20.772/TAN(RADIANS(AE76)))))/3600</f>
        <v>0.0375285074586778</v>
      </c>
      <c r="AG76" s="0" t="n">
        <f aca="false">AE76+AF76</f>
        <v>-8.70323988410729</v>
      </c>
      <c r="AH76" s="0" t="n">
        <f aca="false">IF(AC76&gt;0,MOD(DEGREES(ACOS(((SIN(RADIANS($B$3))*COS(RADIANS(AD76)))-SIN(RADIANS(T76)))/(COS(RADIANS($B$3))*SIN(RADIANS(AD76)))))+180,360),MOD(540-DEGREES(ACOS(((SIN(RADIANS($B$3))*COS(RADIANS(AD76)))-SIN(RADIANS(T76)))/(COS(RADIANS($B$3))*SIN(RADIANS(AD76))))),360))</f>
        <v>118.536315904693</v>
      </c>
    </row>
    <row r="77" customFormat="false" ht="15" hidden="false" customHeight="false" outlineLevel="0" collapsed="false">
      <c r="D77" s="6" t="n">
        <f aca="false">$B$7</f>
        <v>44886</v>
      </c>
      <c r="E77" s="7" t="n">
        <f aca="false">E76+0.1/24</f>
        <v>0.316666666666667</v>
      </c>
      <c r="F77" s="8" t="n">
        <f aca="false">D77+2415018.5+E77-$B$5/24</f>
        <v>2459904.775</v>
      </c>
      <c r="G77" s="9" t="n">
        <f aca="false">(F77-2451545)/36525</f>
        <v>0.228878165639983</v>
      </c>
      <c r="I77" s="0" t="n">
        <f aca="false">MOD(280.46646+G77*(36000.76983+G77*0.0003032),360)</f>
        <v>240.256636200831</v>
      </c>
      <c r="J77" s="0" t="n">
        <f aca="false">357.52911+G77*(35999.05029-0.0001537*G77)</f>
        <v>8596.92569710508</v>
      </c>
      <c r="K77" s="0" t="n">
        <f aca="false">0.016708634-G77*(0.000042037+0.0000001267*G77)</f>
        <v>0.0166990060113443</v>
      </c>
      <c r="L77" s="0" t="n">
        <f aca="false">SIN(RADIANS(J77))*(1.914602-G77*(0.004817+0.000014*G77))+SIN(RADIANS(2*J77))*(0.019993-0.000101*G77)+SIN(RADIANS(3*J77))*0.000289</f>
        <v>-1.32696543008728</v>
      </c>
      <c r="M77" s="0" t="n">
        <f aca="false">I77+L77</f>
        <v>238.929670770744</v>
      </c>
      <c r="N77" s="0" t="n">
        <f aca="false">J77+L77</f>
        <v>8595.598731675</v>
      </c>
      <c r="O77" s="0" t="n">
        <f aca="false">(1.000001018*(1-K77*K77))/(1+K77*COS(RADIANS(N77)))</f>
        <v>0.987935375694391</v>
      </c>
      <c r="P77" s="0" t="n">
        <f aca="false">M77-0.00569-0.00478*SIN(RADIANS(125.04-1934.136*G77))</f>
        <v>238.92076016285</v>
      </c>
      <c r="Q77" s="0" t="n">
        <f aca="false">23+(26+((21.448-G77*(46.815+G77*(0.00059-G77*0.001813))))/60)/60</f>
        <v>23.4363147387516</v>
      </c>
      <c r="R77" s="0" t="n">
        <f aca="false">Q77+0.00256*COS(RADIANS(125.04-1934.136*G77))</f>
        <v>23.4382064342379</v>
      </c>
      <c r="S77" s="0" t="n">
        <f aca="false">DEGREES(ATAN2(COS(RADIANS(P77)),COS(RADIANS(R77))*SIN(RADIANS(P77))))</f>
        <v>-123.302899850728</v>
      </c>
      <c r="T77" s="0" t="n">
        <f aca="false">DEGREES(ASIN(SIN(RADIANS(R77))*SIN(RADIANS(P77))))</f>
        <v>-19.9172748407332</v>
      </c>
      <c r="U77" s="0" t="n">
        <f aca="false">TAN(RADIANS(R77/2))*TAN(RADIANS(R77/2))</f>
        <v>0.0430304331427209</v>
      </c>
      <c r="V77" s="0" t="n">
        <f aca="false">4*DEGREES(U77*SIN(2*RADIANS(I77))-2*K77*SIN(RADIANS(J77))+4*K77*U77*SIN(RADIANS(J77))*COS(2*RADIANS(I77))-0.5*U77*U77*SIN(4*RADIANS(I77))-1.25*K77*K77*SIN(2*RADIANS(J77)))</f>
        <v>14.2172961713254</v>
      </c>
      <c r="W77" s="0" t="n">
        <f aca="false">DEGREES(ACOS(COS(RADIANS(90.833))/(COS(RADIANS($B$3))*COS(RADIANS(T77)))-TAN(RADIANS($B$3))*TAN(RADIANS(T77))))</f>
        <v>43.7286646240941</v>
      </c>
      <c r="X77" s="7" t="n">
        <f aca="false">(720-4*$B$4-V77+$B$5*60)/1440</f>
        <v>0.499862988769913</v>
      </c>
      <c r="Y77" s="7" t="n">
        <f aca="false">X77-W77*4/1440</f>
        <v>0.378394475925207</v>
      </c>
      <c r="Z77" s="7" t="n">
        <f aca="false">X77+W77*4/1440</f>
        <v>0.621331501614619</v>
      </c>
      <c r="AA77" s="10" t="n">
        <f aca="false">8*W77</f>
        <v>349.829316992753</v>
      </c>
      <c r="AB77" s="0" t="n">
        <f aca="false">MOD(E77*1440+V77+4*$B$4-60*$B$5,1440)</f>
        <v>456.197296171325</v>
      </c>
      <c r="AC77" s="0" t="n">
        <f aca="false">IF(AB77/4&lt;0,AB77/4+180,AB77/4-180)</f>
        <v>-65.9506759571686</v>
      </c>
      <c r="AD77" s="0" t="n">
        <f aca="false">DEGREES(ACOS(SIN(RADIANS($B$3))*SIN(RADIANS(T77))+COS(RADIANS($B$3))*COS(RADIANS(T77))*COS(RADIANS(AC77))))</f>
        <v>98.1772591711536</v>
      </c>
      <c r="AE77" s="0" t="n">
        <f aca="false">90-AD77</f>
        <v>-8.17725917115361</v>
      </c>
      <c r="AF77" s="0" t="n">
        <f aca="false">IF(AE77&gt;85,0,IF(AE77&gt;5,58.1/TAN(RADIANS(AE77))-0.07/POWER(TAN(RADIANS(AE77)),3)+0.000086/POWER(TAN(RADIANS(AE77)),5),IF(AE77&gt;-0.575,1735+AE77*(-518.2+AE77*(103.4+AE77*(-12.79+AE77*0.711))),-20.772/TAN(RADIANS(AE77)))))/3600</f>
        <v>0.0401539125786602</v>
      </c>
      <c r="AG77" s="0" t="n">
        <f aca="false">AE77+AF77</f>
        <v>-8.13710525857495</v>
      </c>
      <c r="AH77" s="0" t="n">
        <f aca="false">IF(AC77&gt;0,MOD(DEGREES(ACOS(((SIN(RADIANS($B$3))*COS(RADIANS(AD77)))-SIN(RADIANS(T77)))/(COS(RADIANS($B$3))*SIN(RADIANS(AD77)))))+180,360),MOD(540-DEGREES(ACOS(((SIN(RADIANS($B$3))*COS(RADIANS(AD77)))-SIN(RADIANS(T77)))/(COS(RADIANS($B$3))*SIN(RADIANS(AD77))))),360))</f>
        <v>119.843071747864</v>
      </c>
    </row>
    <row r="78" customFormat="false" ht="15" hidden="false" customHeight="false" outlineLevel="0" collapsed="false">
      <c r="D78" s="6" t="n">
        <f aca="false">$B$7</f>
        <v>44886</v>
      </c>
      <c r="E78" s="7" t="n">
        <f aca="false">E77+0.1/24</f>
        <v>0.320833333333333</v>
      </c>
      <c r="F78" s="8" t="n">
        <f aca="false">D78+2415018.5+E78-$B$5/24</f>
        <v>2459904.77916667</v>
      </c>
      <c r="G78" s="9" t="n">
        <f aca="false">(F78-2451545)/36525</f>
        <v>0.228878279717092</v>
      </c>
      <c r="I78" s="0" t="n">
        <f aca="false">MOD(280.46646+G78*(36000.76983+G78*0.0003032),360)</f>
        <v>240.260743064604</v>
      </c>
      <c r="J78" s="0" t="n">
        <f aca="false">357.52911+G78*(35999.05029-0.0001537*G78)</f>
        <v>8596.92980377267</v>
      </c>
      <c r="K78" s="0" t="n">
        <f aca="false">0.016708634-G78*(0.000042037+0.0000001267*G78)</f>
        <v>0.0166990060065422</v>
      </c>
      <c r="L78" s="0" t="n">
        <f aca="false">SIN(RADIANS(J78))*(1.914602-G78*(0.004817+0.000014*G78))+SIN(RADIANS(2*J78))*(0.019993-0.000101*G78)+SIN(RADIANS(3*J78))*0.000289</f>
        <v>-1.32686508953345</v>
      </c>
      <c r="M78" s="0" t="n">
        <f aca="false">I78+L78</f>
        <v>238.933877975071</v>
      </c>
      <c r="N78" s="0" t="n">
        <f aca="false">J78+L78</f>
        <v>8595.60293868314</v>
      </c>
      <c r="O78" s="0" t="n">
        <f aca="false">(1.000001018*(1-K78*K78))/(1+K78*COS(RADIANS(N78)))</f>
        <v>0.987934538165952</v>
      </c>
      <c r="P78" s="0" t="n">
        <f aca="false">M78-0.00569-0.00478*SIN(RADIANS(125.04-1934.136*G78))</f>
        <v>238.924967380779</v>
      </c>
      <c r="Q78" s="0" t="n">
        <f aca="false">23+(26+((21.448-G78*(46.815+G78*(0.00059-G78*0.001813))))/60)/60</f>
        <v>23.4363147372681</v>
      </c>
      <c r="R78" s="0" t="n">
        <f aca="false">Q78+0.00256*COS(RADIANS(125.04-1934.136*G78))</f>
        <v>23.4382064393966</v>
      </c>
      <c r="S78" s="0" t="n">
        <f aca="false">DEGREES(ATAN2(COS(RADIANS(P78)),COS(RADIANS(R78))*SIN(RADIANS(P78))))</f>
        <v>-123.298532968128</v>
      </c>
      <c r="T78" s="0" t="n">
        <f aca="false">DEGREES(ASIN(SIN(RADIANS(R78))*SIN(RADIANS(P78))))</f>
        <v>-19.9181936314151</v>
      </c>
      <c r="U78" s="0" t="n">
        <f aca="false">TAN(RADIANS(R78/2))*TAN(RADIANS(R78/2))</f>
        <v>0.0430304331622016</v>
      </c>
      <c r="V78" s="0" t="n">
        <f aca="false">4*DEGREES(U78*SIN(2*RADIANS(I78))-2*K78*SIN(RADIANS(J78))+4*K78*U78*SIN(RADIANS(J78))*COS(2*RADIANS(I78))-0.5*U78*U78*SIN(4*RADIANS(I78))-1.25*K78*K78*SIN(2*RADIANS(J78)))</f>
        <v>14.216244238707</v>
      </c>
      <c r="W78" s="0" t="n">
        <f aca="false">DEGREES(ACOS(COS(RADIANS(90.833))/(COS(RADIANS($B$3))*COS(RADIANS(T78)))-TAN(RADIANS($B$3))*TAN(RADIANS(T78))))</f>
        <v>43.7255340518762</v>
      </c>
      <c r="X78" s="7" t="n">
        <f aca="false">(720-4*$B$4-V78+$B$5*60)/1440</f>
        <v>0.499863719278676</v>
      </c>
      <c r="Y78" s="7" t="n">
        <f aca="false">X78-W78*4/1440</f>
        <v>0.378403902467909</v>
      </c>
      <c r="Z78" s="7" t="n">
        <f aca="false">X78+W78*4/1440</f>
        <v>0.621323536089443</v>
      </c>
      <c r="AA78" s="10" t="n">
        <f aca="false">8*W78</f>
        <v>349.80427241501</v>
      </c>
      <c r="AB78" s="0" t="n">
        <f aca="false">MOD(E78*1440+V78+4*$B$4-60*$B$5,1440)</f>
        <v>462.196244238707</v>
      </c>
      <c r="AC78" s="0" t="n">
        <f aca="false">IF(AB78/4&lt;0,AB78/4+180,AB78/4-180)</f>
        <v>-64.4509389403232</v>
      </c>
      <c r="AD78" s="0" t="n">
        <f aca="false">DEGREES(ACOS(SIN(RADIANS($B$3))*SIN(RADIANS(T78))+COS(RADIANS($B$3))*COS(RADIANS(T78))*COS(RADIANS(AC78))))</f>
        <v>97.6210923578464</v>
      </c>
      <c r="AE78" s="0" t="n">
        <f aca="false">90-AD78</f>
        <v>-7.62109235784642</v>
      </c>
      <c r="AF78" s="0" t="n">
        <f aca="false">IF(AE78&gt;85,0,IF(AE78&gt;5,58.1/TAN(RADIANS(AE78))-0.07/POWER(TAN(RADIANS(AE78)),3)+0.000086/POWER(TAN(RADIANS(AE78)),5),IF(AE78&gt;-0.575,1735+AE78*(-518.2+AE78*(103.4+AE78*(-12.79+AE78*0.711))),-20.772/TAN(RADIANS(AE78)))))/3600</f>
        <v>0.0431230373772345</v>
      </c>
      <c r="AG78" s="0" t="n">
        <f aca="false">AE78+AF78</f>
        <v>-7.57796932046919</v>
      </c>
      <c r="AH78" s="0" t="n">
        <f aca="false">IF(AC78&gt;0,MOD(DEGREES(ACOS(((SIN(RADIANS($B$3))*COS(RADIANS(AD78)))-SIN(RADIANS(T78)))/(COS(RADIANS($B$3))*SIN(RADIANS(AD78)))))+180,360),MOD(540-DEGREES(ACOS(((SIN(RADIANS($B$3))*COS(RADIANS(AD78)))-SIN(RADIANS(T78)))/(COS(RADIANS($B$3))*SIN(RADIANS(AD78))))),360))</f>
        <v>121.151191118268</v>
      </c>
    </row>
    <row r="79" customFormat="false" ht="15" hidden="false" customHeight="false" outlineLevel="0" collapsed="false">
      <c r="D79" s="6" t="n">
        <f aca="false">$B$7</f>
        <v>44886</v>
      </c>
      <c r="E79" s="7" t="n">
        <f aca="false">E78+0.1/24</f>
        <v>0.325</v>
      </c>
      <c r="F79" s="8" t="n">
        <f aca="false">D79+2415018.5+E79-$B$5/24</f>
        <v>2459904.78333333</v>
      </c>
      <c r="G79" s="9" t="n">
        <f aca="false">(F79-2451545)/36525</f>
        <v>0.228878393794214</v>
      </c>
      <c r="I79" s="0" t="n">
        <f aca="false">MOD(280.46646+G79*(36000.76983+G79*0.0003032),360)</f>
        <v>240.264849928835</v>
      </c>
      <c r="J79" s="0" t="n">
        <f aca="false">357.52911+G79*(35999.05029-0.0001537*G79)</f>
        <v>8596.93391044072</v>
      </c>
      <c r="K79" s="0" t="n">
        <f aca="false">0.016708634-G79*(0.000042037+0.0000001267*G79)</f>
        <v>0.0166990060017401</v>
      </c>
      <c r="L79" s="0" t="n">
        <f aca="false">SIN(RADIANS(J79))*(1.914602-G79*(0.004817+0.000014*G79))+SIN(RADIANS(2*J79))*(0.019993-0.000101*G79)+SIN(RADIANS(3*J79))*0.000289</f>
        <v>-1.32676474183569</v>
      </c>
      <c r="M79" s="0" t="n">
        <f aca="false">I79+L79</f>
        <v>238.938085187</v>
      </c>
      <c r="N79" s="0" t="n">
        <f aca="false">J79+L79</f>
        <v>8595.60714569888</v>
      </c>
      <c r="O79" s="0" t="n">
        <f aca="false">(1.000001018*(1-K79*K79))/(1+K79*COS(RADIANS(N79)))</f>
        <v>0.987933700700223</v>
      </c>
      <c r="P79" s="0" t="n">
        <f aca="false">M79-0.00569-0.00478*SIN(RADIANS(125.04-1934.136*G79))</f>
        <v>238.92917460631</v>
      </c>
      <c r="Q79" s="0" t="n">
        <f aca="false">23+(26+((21.448-G79*(46.815+G79*(0.00059-G79*0.001813))))/60)/60</f>
        <v>23.4363147357847</v>
      </c>
      <c r="R79" s="0" t="n">
        <f aca="false">Q79+0.00256*COS(RADIANS(125.04-1934.136*G79))</f>
        <v>23.4382064445553</v>
      </c>
      <c r="S79" s="0" t="n">
        <f aca="false">DEGREES(ATAN2(COS(RADIANS(P79)),COS(RADIANS(R79))*SIN(RADIANS(P79))))</f>
        <v>-123.294166026891</v>
      </c>
      <c r="T79" s="0" t="n">
        <f aca="false">DEGREES(ASIN(SIN(RADIANS(R79))*SIN(RADIANS(P79))))</f>
        <v>-19.9191123171516</v>
      </c>
      <c r="U79" s="0" t="n">
        <f aca="false">TAN(RADIANS(R79/2))*TAN(RADIANS(R79/2))</f>
        <v>0.0430304331816822</v>
      </c>
      <c r="V79" s="0" t="n">
        <f aca="false">4*DEGREES(U79*SIN(2*RADIANS(I79))-2*K79*SIN(RADIANS(J79))+4*K79*U79*SIN(RADIANS(J79))*COS(2*RADIANS(I79))-0.5*U79*U79*SIN(4*RADIANS(I79))-1.25*K79*K79*SIN(2*RADIANS(J79)))</f>
        <v>14.2151920732413</v>
      </c>
      <c r="W79" s="0" t="n">
        <f aca="false">DEGREES(ACOS(COS(RADIANS(90.833))/(COS(RADIANS($B$3))*COS(RADIANS(T79)))-TAN(RADIANS($B$3))*TAN(RADIANS(T79))))</f>
        <v>43.722403622808</v>
      </c>
      <c r="X79" s="7" t="n">
        <f aca="false">(720-4*$B$4-V79+$B$5*60)/1440</f>
        <v>0.499864449949138</v>
      </c>
      <c r="Y79" s="7" t="n">
        <f aca="false">X79-W79*4/1440</f>
        <v>0.378413328774671</v>
      </c>
      <c r="Z79" s="7" t="n">
        <f aca="false">X79+W79*4/1440</f>
        <v>0.621315571123605</v>
      </c>
      <c r="AA79" s="10" t="n">
        <f aca="false">8*W79</f>
        <v>349.779228982464</v>
      </c>
      <c r="AB79" s="0" t="n">
        <f aca="false">MOD(E79*1440+V79+4*$B$4-60*$B$5,1440)</f>
        <v>468.195192073241</v>
      </c>
      <c r="AC79" s="0" t="n">
        <f aca="false">IF(AB79/4&lt;0,AB79/4+180,AB79/4-180)</f>
        <v>-62.9512019816897</v>
      </c>
      <c r="AD79" s="0" t="n">
        <f aca="false">DEGREES(ACOS(SIN(RADIANS($B$3))*SIN(RADIANS(T79))+COS(RADIANS($B$3))*COS(RADIANS(T79))*COS(RADIANS(AC79))))</f>
        <v>97.0725667947661</v>
      </c>
      <c r="AE79" s="0" t="n">
        <f aca="false">90-AD79</f>
        <v>-7.07256679476608</v>
      </c>
      <c r="AF79" s="0" t="n">
        <f aca="false">IF(AE79&gt;85,0,IF(AE79&gt;5,58.1/TAN(RADIANS(AE79))-0.07/POWER(TAN(RADIANS(AE79)),3)+0.000086/POWER(TAN(RADIANS(AE79)),5),IF(AE79&gt;-0.575,1735+AE79*(-518.2+AE79*(103.4+AE79*(-12.79+AE79*0.711))),-20.772/TAN(RADIANS(AE79)))))/3600</f>
        <v>0.046505860248502</v>
      </c>
      <c r="AG79" s="0" t="n">
        <f aca="false">AE79+AF79</f>
        <v>-7.02606093451757</v>
      </c>
      <c r="AH79" s="0" t="n">
        <f aca="false">IF(AC79&gt;0,MOD(DEGREES(ACOS(((SIN(RADIANS($B$3))*COS(RADIANS(AD79)))-SIN(RADIANS(T79)))/(COS(RADIANS($B$3))*SIN(RADIANS(AD79)))))+180,360),MOD(540-DEGREES(ACOS(((SIN(RADIANS($B$3))*COS(RADIANS(AD79)))-SIN(RADIANS(T79)))/(COS(RADIANS($B$3))*SIN(RADIANS(AD79))))),360))</f>
        <v>122.460894768829</v>
      </c>
    </row>
    <row r="80" customFormat="false" ht="15" hidden="false" customHeight="false" outlineLevel="0" collapsed="false">
      <c r="D80" s="6" t="n">
        <f aca="false">$B$7</f>
        <v>44886</v>
      </c>
      <c r="E80" s="7" t="n">
        <f aca="false">E79+0.1/24</f>
        <v>0.329166666666667</v>
      </c>
      <c r="F80" s="8" t="n">
        <f aca="false">D80+2415018.5+E80-$B$5/24</f>
        <v>2459904.7875</v>
      </c>
      <c r="G80" s="9" t="n">
        <f aca="false">(F80-2451545)/36525</f>
        <v>0.228878507871324</v>
      </c>
      <c r="I80" s="0" t="n">
        <f aca="false">MOD(280.46646+G80*(36000.76983+G80*0.0003032),360)</f>
        <v>240.268956792606</v>
      </c>
      <c r="J80" s="0" t="n">
        <f aca="false">357.52911+G80*(35999.05029-0.0001537*G80)</f>
        <v>8596.93801710831</v>
      </c>
      <c r="K80" s="0" t="n">
        <f aca="false">0.016708634-G80*(0.000042037+0.0000001267*G80)</f>
        <v>0.0166990059969381</v>
      </c>
      <c r="L80" s="0" t="n">
        <f aca="false">SIN(RADIANS(J80))*(1.914602-G80*(0.004817+0.000014*G80))+SIN(RADIANS(2*J80))*(0.019993-0.000101*G80)+SIN(RADIANS(3*J80))*0.000289</f>
        <v>-1.32666438701699</v>
      </c>
      <c r="M80" s="0" t="n">
        <f aca="false">I80+L80</f>
        <v>238.942292405589</v>
      </c>
      <c r="N80" s="0" t="n">
        <f aca="false">J80+L80</f>
        <v>8595.61135272129</v>
      </c>
      <c r="O80" s="0" t="n">
        <f aca="false">(1.000001018*(1-K80*K80))/(1+K80*COS(RADIANS(N80)))</f>
        <v>0.987932863297395</v>
      </c>
      <c r="P80" s="0" t="n">
        <f aca="false">M80-0.00569-0.00478*SIN(RADIANS(125.04-1934.136*G80))</f>
        <v>238.933381838502</v>
      </c>
      <c r="Q80" s="0" t="n">
        <f aca="false">23+(26+((21.448-G80*(46.815+G80*(0.00059-G80*0.001813))))/60)/60</f>
        <v>23.4363147343012</v>
      </c>
      <c r="R80" s="0" t="n">
        <f aca="false">Q80+0.00256*COS(RADIANS(125.04-1934.136*G80))</f>
        <v>23.438206449714</v>
      </c>
      <c r="S80" s="0" t="n">
        <f aca="false">DEGREES(ATAN2(COS(RADIANS(P80)),COS(RADIANS(R80))*SIN(RADIANS(P80))))</f>
        <v>-123.289799027996</v>
      </c>
      <c r="T80" s="0" t="n">
        <f aca="false">DEGREES(ASIN(SIN(RADIANS(R80))*SIN(RADIANS(P80))))</f>
        <v>-19.9200308977299</v>
      </c>
      <c r="U80" s="0" t="n">
        <f aca="false">TAN(RADIANS(R80/2))*TAN(RADIANS(R80/2))</f>
        <v>0.0430304332011627</v>
      </c>
      <c r="V80" s="0" t="n">
        <f aca="false">4*DEGREES(U80*SIN(2*RADIANS(I80))-2*K80*SIN(RADIANS(J80))+4*K80*U80*SIN(RADIANS(J80))*COS(2*RADIANS(I80))-0.5*U80*U80*SIN(4*RADIANS(I80))-1.25*K80*K80*SIN(2*RADIANS(J80)))</f>
        <v>14.2141396751775</v>
      </c>
      <c r="W80" s="0" t="n">
        <f aca="false">DEGREES(ACOS(COS(RADIANS(90.833))/(COS(RADIANS($B$3))*COS(RADIANS(T80)))-TAN(RADIANS($B$3))*TAN(RADIANS(T80))))</f>
        <v>43.7192733376396</v>
      </c>
      <c r="X80" s="7" t="n">
        <f aca="false">(720-4*$B$4-V80+$B$5*60)/1440</f>
        <v>0.499865180781127</v>
      </c>
      <c r="Y80" s="7" t="n">
        <f aca="false">X80-W80*4/1440</f>
        <v>0.378422754843239</v>
      </c>
      <c r="Z80" s="7" t="n">
        <f aca="false">X80+W80*4/1440</f>
        <v>0.621307606719014</v>
      </c>
      <c r="AA80" s="10" t="n">
        <f aca="false">8*W80</f>
        <v>349.754186701116</v>
      </c>
      <c r="AB80" s="0" t="n">
        <f aca="false">MOD(E80*1440+V80+4*$B$4-60*$B$5,1440)</f>
        <v>474.194139675178</v>
      </c>
      <c r="AC80" s="0" t="n">
        <f aca="false">IF(AB80/4&lt;0,AB80/4+180,AB80/4-180)</f>
        <v>-61.4514650812056</v>
      </c>
      <c r="AD80" s="0" t="n">
        <f aca="false">DEGREES(ACOS(SIN(RADIANS($B$3))*SIN(RADIANS(T80))+COS(RADIANS($B$3))*COS(RADIANS(T80))*COS(RADIANS(AC80))))</f>
        <v>96.5319796364391</v>
      </c>
      <c r="AE80" s="0" t="n">
        <f aca="false">90-AD80</f>
        <v>-6.5319796364391</v>
      </c>
      <c r="AF80" s="0" t="n">
        <f aca="false">IF(AE80&gt;85,0,IF(AE80&gt;5,58.1/TAN(RADIANS(AE80))-0.07/POWER(TAN(RADIANS(AE80)),3)+0.000086/POWER(TAN(RADIANS(AE80)),5),IF(AE80&gt;-0.575,1735+AE80*(-518.2+AE80*(103.4+AE80*(-12.79+AE80*0.711))),-20.772/TAN(RADIANS(AE80)))))/3600</f>
        <v>0.0503925554779061</v>
      </c>
      <c r="AG80" s="0" t="n">
        <f aca="false">AE80+AF80</f>
        <v>-6.4815870809612</v>
      </c>
      <c r="AH80" s="0" t="n">
        <f aca="false">IF(AC80&gt;0,MOD(DEGREES(ACOS(((SIN(RADIANS($B$3))*COS(RADIANS(AD80)))-SIN(RADIANS(T80)))/(COS(RADIANS($B$3))*SIN(RADIANS(AD80)))))+180,360),MOD(540-DEGREES(ACOS(((SIN(RADIANS($B$3))*COS(RADIANS(AD80)))-SIN(RADIANS(T80)))/(COS(RADIANS($B$3))*SIN(RADIANS(AD80))))),360))</f>
        <v>123.772392568872</v>
      </c>
    </row>
    <row r="81" customFormat="false" ht="15" hidden="false" customHeight="false" outlineLevel="0" collapsed="false">
      <c r="D81" s="6" t="n">
        <f aca="false">$B$7</f>
        <v>44886</v>
      </c>
      <c r="E81" s="7" t="n">
        <f aca="false">E80+0.1/24</f>
        <v>0.333333333333333</v>
      </c>
      <c r="F81" s="8" t="n">
        <f aca="false">D81+2415018.5+E81-$B$5/24</f>
        <v>2459904.79166667</v>
      </c>
      <c r="G81" s="9" t="n">
        <f aca="false">(F81-2451545)/36525</f>
        <v>0.228878621948446</v>
      </c>
      <c r="I81" s="0" t="n">
        <f aca="false">MOD(280.46646+G81*(36000.76983+G81*0.0003032),360)</f>
        <v>240.273063656836</v>
      </c>
      <c r="J81" s="0" t="n">
        <f aca="false">357.52911+G81*(35999.05029-0.0001537*G81)</f>
        <v>8596.94212377635</v>
      </c>
      <c r="K81" s="0" t="n">
        <f aca="false">0.016708634-G81*(0.000042037+0.0000001267*G81)</f>
        <v>0.016699005992136</v>
      </c>
      <c r="L81" s="0" t="n">
        <f aca="false">SIN(RADIANS(J81))*(1.914602-G81*(0.004817+0.000014*G81))+SIN(RADIANS(2*J81))*(0.019993-0.000101*G81)+SIN(RADIANS(3*J81))*0.000289</f>
        <v>-1.32656402505533</v>
      </c>
      <c r="M81" s="0" t="n">
        <f aca="false">I81+L81</f>
        <v>238.94649963178</v>
      </c>
      <c r="N81" s="0" t="n">
        <f aca="false">J81+L81</f>
        <v>8595.6155597513</v>
      </c>
      <c r="O81" s="0" t="n">
        <f aca="false">(1.000001018*(1-K81*K81))/(1+K81*COS(RADIANS(N81)))</f>
        <v>0.987932025957286</v>
      </c>
      <c r="P81" s="0" t="n">
        <f aca="false">M81-0.00569-0.00478*SIN(RADIANS(125.04-1934.136*G81))</f>
        <v>238.937589078295</v>
      </c>
      <c r="Q81" s="0" t="n">
        <f aca="false">23+(26+((21.448-G81*(46.815+G81*(0.00059-G81*0.001813))))/60)/60</f>
        <v>23.4363147328177</v>
      </c>
      <c r="R81" s="0" t="n">
        <f aca="false">Q81+0.00256*COS(RADIANS(125.04-1934.136*G81))</f>
        <v>23.4382064548727</v>
      </c>
      <c r="S81" s="0" t="n">
        <f aca="false">DEGREES(ATAN2(COS(RADIANS(P81)),COS(RADIANS(R81))*SIN(RADIANS(P81))))</f>
        <v>-123.28543197047</v>
      </c>
      <c r="T81" s="0" t="n">
        <f aca="false">DEGREES(ASIN(SIN(RADIANS(R81))*SIN(RADIANS(P81))))</f>
        <v>-19.9209493733482</v>
      </c>
      <c r="U81" s="0" t="n">
        <f aca="false">TAN(RADIANS(R81/2))*TAN(RADIANS(R81/2))</f>
        <v>0.0430304332206431</v>
      </c>
      <c r="V81" s="0" t="n">
        <f aca="false">4*DEGREES(U81*SIN(2*RADIANS(I81))-2*K81*SIN(RADIANS(J81))+4*K81*U81*SIN(RADIANS(J81))*COS(2*RADIANS(I81))-0.5*U81*U81*SIN(4*RADIANS(I81))-1.25*K81*K81*SIN(2*RADIANS(J81)))</f>
        <v>14.2130870442933</v>
      </c>
      <c r="W81" s="0" t="n">
        <f aca="false">DEGREES(ACOS(COS(RADIANS(90.833))/(COS(RADIANS($B$3))*COS(RADIANS(T81)))-TAN(RADIANS($B$3))*TAN(RADIANS(T81))))</f>
        <v>43.7161431957206</v>
      </c>
      <c r="X81" s="7" t="n">
        <f aca="false">(720-4*$B$4-V81+$B$5*60)/1440</f>
        <v>0.499865911774796</v>
      </c>
      <c r="Y81" s="7" t="n">
        <f aca="false">X81-W81*4/1440</f>
        <v>0.378432180675572</v>
      </c>
      <c r="Z81" s="7" t="n">
        <f aca="false">X81+W81*4/1440</f>
        <v>0.62129964287402</v>
      </c>
      <c r="AA81" s="10" t="n">
        <f aca="false">8*W81</f>
        <v>349.729145565765</v>
      </c>
      <c r="AB81" s="0" t="n">
        <f aca="false">MOD(E81*1440+V81+4*$B$4-60*$B$5,1440)</f>
        <v>480.193087044293</v>
      </c>
      <c r="AC81" s="0" t="n">
        <f aca="false">IF(AB81/4&lt;0,AB81/4+180,AB81/4-180)</f>
        <v>-59.9517282389267</v>
      </c>
      <c r="AD81" s="0" t="n">
        <f aca="false">DEGREES(ACOS(SIN(RADIANS($B$3))*SIN(RADIANS(T81))+COS(RADIANS($B$3))*COS(RADIANS(T81))*COS(RADIANS(AC81))))</f>
        <v>95.9996262882043</v>
      </c>
      <c r="AE81" s="0" t="n">
        <f aca="false">90-AD81</f>
        <v>-5.99962628820427</v>
      </c>
      <c r="AF81" s="0" t="n">
        <f aca="false">IF(AE81&gt;85,0,IF(AE81&gt;5,58.1/TAN(RADIANS(AE81))-0.07/POWER(TAN(RADIANS(AE81)),3)+0.000086/POWER(TAN(RADIANS(AE81)),5),IF(AE81&gt;-0.575,1735+AE81*(-518.2+AE81*(103.4+AE81*(-12.79+AE81*0.711))),-20.772/TAN(RADIANS(AE81)))))/3600</f>
        <v>0.0549013275723301</v>
      </c>
      <c r="AG81" s="0" t="n">
        <f aca="false">AE81+AF81</f>
        <v>-5.94472496063194</v>
      </c>
      <c r="AH81" s="0" t="n">
        <f aca="false">IF(AC81&gt;0,MOD(DEGREES(ACOS(((SIN(RADIANS($B$3))*COS(RADIANS(AD81)))-SIN(RADIANS(T81)))/(COS(RADIANS($B$3))*SIN(RADIANS(AD81)))))+180,360),MOD(540-DEGREES(ACOS(((SIN(RADIANS($B$3))*COS(RADIANS(AD81)))-SIN(RADIANS(T81)))/(COS(RADIANS($B$3))*SIN(RADIANS(AD81))))),360))</f>
        <v>125.085883324171</v>
      </c>
    </row>
    <row r="82" customFormat="false" ht="15" hidden="false" customHeight="false" outlineLevel="0" collapsed="false">
      <c r="D82" s="6" t="n">
        <f aca="false">$B$7</f>
        <v>44886</v>
      </c>
      <c r="E82" s="7" t="n">
        <f aca="false">E81+0.1/24</f>
        <v>0.3375</v>
      </c>
      <c r="F82" s="8" t="n">
        <f aca="false">D82+2415018.5+E82-$B$5/24</f>
        <v>2459904.79583333</v>
      </c>
      <c r="G82" s="9" t="n">
        <f aca="false">(F82-2451545)/36525</f>
        <v>0.228878736025555</v>
      </c>
      <c r="I82" s="0" t="n">
        <f aca="false">MOD(280.46646+G82*(36000.76983+G82*0.0003032),360)</f>
        <v>240.277170520609</v>
      </c>
      <c r="J82" s="0" t="n">
        <f aca="false">357.52911+G82*(35999.05029-0.0001537*G82)</f>
        <v>8596.94623044394</v>
      </c>
      <c r="K82" s="0" t="n">
        <f aca="false">0.016708634-G82*(0.000042037+0.0000001267*G82)</f>
        <v>0.0166990059873339</v>
      </c>
      <c r="L82" s="0" t="n">
        <f aca="false">SIN(RADIANS(J82))*(1.914602-G82*(0.004817+0.000014*G82))+SIN(RADIANS(2*J82))*(0.019993-0.000101*G82)+SIN(RADIANS(3*J82))*0.000289</f>
        <v>-1.3264636559738</v>
      </c>
      <c r="M82" s="0" t="n">
        <f aca="false">I82+L82</f>
        <v>238.950706864635</v>
      </c>
      <c r="N82" s="0" t="n">
        <f aca="false">J82+L82</f>
        <v>8595.61976678797</v>
      </c>
      <c r="O82" s="0" t="n">
        <f aca="false">(1.000001018*(1-K82*K82))/(1+K82*COS(RADIANS(N82)))</f>
        <v>0.987931188680087</v>
      </c>
      <c r="P82" s="0" t="n">
        <f aca="false">M82-0.00569-0.00478*SIN(RADIANS(125.04-1934.136*G82))</f>
        <v>238.941796324752</v>
      </c>
      <c r="Q82" s="0" t="n">
        <f aca="false">23+(26+((21.448-G82*(46.815+G82*(0.00059-G82*0.001813))))/60)/60</f>
        <v>23.4363147313342</v>
      </c>
      <c r="R82" s="0" t="n">
        <f aca="false">Q82+0.00256*COS(RADIANS(125.04-1934.136*G82))</f>
        <v>23.4382064600313</v>
      </c>
      <c r="S82" s="0" t="n">
        <f aca="false">DEGREES(ATAN2(COS(RADIANS(P82)),COS(RADIANS(R82))*SIN(RADIANS(P82))))</f>
        <v>-123.281064855288</v>
      </c>
      <c r="T82" s="0" t="n">
        <f aca="false">DEGREES(ASIN(SIN(RADIANS(R82))*SIN(RADIANS(P82))))</f>
        <v>-19.9218677437947</v>
      </c>
      <c r="U82" s="0" t="n">
        <f aca="false">TAN(RADIANS(R82/2))*TAN(RADIANS(R82/2))</f>
        <v>0.0430304332401233</v>
      </c>
      <c r="V82" s="0" t="n">
        <f aca="false">4*DEGREES(U82*SIN(2*RADIANS(I82))-2*K82*SIN(RADIANS(J82))+4*K82*U82*SIN(RADIANS(J82))*COS(2*RADIANS(I82))-0.5*U82*U82*SIN(4*RADIANS(I82))-1.25*K82*K82*SIN(2*RADIANS(J82)))</f>
        <v>14.2120341808377</v>
      </c>
      <c r="W82" s="0" t="n">
        <f aca="false">DEGREES(ACOS(COS(RADIANS(90.833))/(COS(RADIANS($B$3))*COS(RADIANS(T82)))-TAN(RADIANS($B$3))*TAN(RADIANS(T82))))</f>
        <v>43.7130131977987</v>
      </c>
      <c r="X82" s="7" t="n">
        <f aca="false">(720-4*$B$4-V82+$B$5*60)/1440</f>
        <v>0.499866642929974</v>
      </c>
      <c r="Y82" s="7" t="n">
        <f aca="false">X82-W82*4/1440</f>
        <v>0.378441606269422</v>
      </c>
      <c r="Z82" s="7" t="n">
        <f aca="false">X82+W82*4/1440</f>
        <v>0.621291679590526</v>
      </c>
      <c r="AA82" s="10" t="n">
        <f aca="false">8*W82</f>
        <v>349.704105582389</v>
      </c>
      <c r="AB82" s="0" t="n">
        <f aca="false">MOD(E82*1440+V82+4*$B$4-60*$B$5,1440)</f>
        <v>486.192034180838</v>
      </c>
      <c r="AC82" s="0" t="n">
        <f aca="false">IF(AB82/4&lt;0,AB82/4+180,AB82/4-180)</f>
        <v>-58.4519914547905</v>
      </c>
      <c r="AD82" s="0" t="n">
        <f aca="false">DEGREES(ACOS(SIN(RADIANS($B$3))*SIN(RADIANS(T82))+COS(RADIANS($B$3))*COS(RADIANS(T82))*COS(RADIANS(AC82))))</f>
        <v>95.4758003249454</v>
      </c>
      <c r="AE82" s="0" t="n">
        <f aca="false">90-AD82</f>
        <v>-5.47580032494535</v>
      </c>
      <c r="AF82" s="0" t="n">
        <f aca="false">IF(AE82&gt;85,0,IF(AE82&gt;5,58.1/TAN(RADIANS(AE82))-0.07/POWER(TAN(RADIANS(AE82)),3)+0.000086/POWER(TAN(RADIANS(AE82)),5),IF(AE82&gt;-0.575,1735+AE82*(-518.2+AE82*(103.4+AE82*(-12.79+AE82*0.711))),-20.772/TAN(RADIANS(AE82)))))/3600</f>
        <v>0.0601901975704866</v>
      </c>
      <c r="AG82" s="0" t="n">
        <f aca="false">AE82+AF82</f>
        <v>-5.41561012737487</v>
      </c>
      <c r="AH82" s="0" t="n">
        <f aca="false">IF(AC82&gt;0,MOD(DEGREES(ACOS(((SIN(RADIANS($B$3))*COS(RADIANS(AD82)))-SIN(RADIANS(T82)))/(COS(RADIANS($B$3))*SIN(RADIANS(AD82)))))+180,360),MOD(540-DEGREES(ACOS(((SIN(RADIANS($B$3))*COS(RADIANS(AD82)))-SIN(RADIANS(T82)))/(COS(RADIANS($B$3))*SIN(RADIANS(AD82))))),360))</f>
        <v>126.401554593659</v>
      </c>
    </row>
    <row r="83" customFormat="false" ht="15" hidden="false" customHeight="false" outlineLevel="0" collapsed="false">
      <c r="D83" s="6" t="n">
        <f aca="false">$B$7</f>
        <v>44886</v>
      </c>
      <c r="E83" s="7" t="n">
        <f aca="false">E82+0.1/24</f>
        <v>0.341666666666667</v>
      </c>
      <c r="F83" s="8" t="n">
        <f aca="false">D83+2415018.5+E83-$B$5/24</f>
        <v>2459904.8</v>
      </c>
      <c r="G83" s="9" t="n">
        <f aca="false">(F83-2451545)/36525</f>
        <v>0.228878850102677</v>
      </c>
      <c r="I83" s="0" t="n">
        <f aca="false">MOD(280.46646+G83*(36000.76983+G83*0.0003032),360)</f>
        <v>240.28127738484</v>
      </c>
      <c r="J83" s="0" t="n">
        <f aca="false">357.52911+G83*(35999.05029-0.0001537*G83)</f>
        <v>8596.95033711199</v>
      </c>
      <c r="K83" s="0" t="n">
        <f aca="false">0.016708634-G83*(0.000042037+0.0000001267*G83)</f>
        <v>0.0166990059825318</v>
      </c>
      <c r="L83" s="0" t="n">
        <f aca="false">SIN(RADIANS(J83))*(1.914602-G83*(0.004817+0.000014*G83))+SIN(RADIANS(2*J83))*(0.019993-0.000101*G83)+SIN(RADIANS(3*J83))*0.000289</f>
        <v>-1.32636327975042</v>
      </c>
      <c r="M83" s="0" t="n">
        <f aca="false">I83+L83</f>
        <v>238.95491410509</v>
      </c>
      <c r="N83" s="0" t="n">
        <f aca="false">J83+L83</f>
        <v>8595.62397383224</v>
      </c>
      <c r="O83" s="0" t="n">
        <f aca="false">(1.000001018*(1-K83*K83))/(1+K83*COS(RADIANS(N83)))</f>
        <v>0.987930351465616</v>
      </c>
      <c r="P83" s="0" t="n">
        <f aca="false">M83-0.00569-0.00478*SIN(RADIANS(125.04-1934.136*G83))</f>
        <v>238.946003578808</v>
      </c>
      <c r="Q83" s="0" t="n">
        <f aca="false">23+(26+((21.448-G83*(46.815+G83*(0.00059-G83*0.001813))))/60)/60</f>
        <v>23.4363147298508</v>
      </c>
      <c r="R83" s="0" t="n">
        <f aca="false">Q83+0.00256*COS(RADIANS(125.04-1934.136*G83))</f>
        <v>23.4382064651898</v>
      </c>
      <c r="S83" s="0" t="n">
        <f aca="false">DEGREES(ATAN2(COS(RADIANS(P83)),COS(RADIANS(R83))*SIN(RADIANS(P83))))</f>
        <v>-123.276697681482</v>
      </c>
      <c r="T83" s="0" t="n">
        <f aca="false">DEGREES(ASIN(SIN(RADIANS(R83))*SIN(RADIANS(P83))))</f>
        <v>-19.9227860092668</v>
      </c>
      <c r="U83" s="0" t="n">
        <f aca="false">TAN(RADIANS(R83/2))*TAN(RADIANS(R83/2))</f>
        <v>0.0430304332596035</v>
      </c>
      <c r="V83" s="0" t="n">
        <f aca="false">4*DEGREES(U83*SIN(2*RADIANS(I83))-2*K83*SIN(RADIANS(J83))+4*K83*U83*SIN(RADIANS(J83))*COS(2*RADIANS(I83))-0.5*U83*U83*SIN(4*RADIANS(I83))-1.25*K83*K83*SIN(2*RADIANS(J83)))</f>
        <v>14.2109810845893</v>
      </c>
      <c r="W83" s="0" t="n">
        <f aca="false">DEGREES(ACOS(COS(RADIANS(90.833))/(COS(RADIANS($B$3))*COS(RADIANS(T83)))-TAN(RADIANS($B$3))*TAN(RADIANS(T83))))</f>
        <v>43.709883343226</v>
      </c>
      <c r="X83" s="7" t="n">
        <f aca="false">(720-4*$B$4-V83+$B$5*60)/1440</f>
        <v>0.499867374246813</v>
      </c>
      <c r="Y83" s="7" t="n">
        <f aca="false">X83-W83*4/1440</f>
        <v>0.378451031626741</v>
      </c>
      <c r="Z83" s="7" t="n">
        <f aca="false">X83+W83*4/1440</f>
        <v>0.621283716866885</v>
      </c>
      <c r="AA83" s="10" t="n">
        <f aca="false">8*W83</f>
        <v>349.679066745808</v>
      </c>
      <c r="AB83" s="0" t="n">
        <f aca="false">MOD(E83*1440+V83+4*$B$4-60*$B$5,1440)</f>
        <v>492.190981084589</v>
      </c>
      <c r="AC83" s="0" t="n">
        <f aca="false">IF(AB83/4&lt;0,AB83/4+180,AB83/4-180)</f>
        <v>-56.9522547288527</v>
      </c>
      <c r="AD83" s="0" t="n">
        <f aca="false">DEGREES(ACOS(SIN(RADIANS($B$3))*SIN(RADIANS(T83))+COS(RADIANS($B$3))*COS(RADIANS(T83))*COS(RADIANS(AC83))))</f>
        <v>94.9607933924278</v>
      </c>
      <c r="AE83" s="0" t="n">
        <f aca="false">90-AD83</f>
        <v>-4.96079339242783</v>
      </c>
      <c r="AF83" s="0" t="n">
        <f aca="false">IF(AE83&gt;85,0,IF(AE83&gt;5,58.1/TAN(RADIANS(AE83))-0.07/POWER(TAN(RADIANS(AE83)),3)+0.000086/POWER(TAN(RADIANS(AE83)),5),IF(AE83&gt;-0.575,1735+AE83*(-518.2+AE83*(103.4+AE83*(-12.79+AE83*0.711))),-20.772/TAN(RADIANS(AE83)))))/3600</f>
        <v>0.0664752803713339</v>
      </c>
      <c r="AG83" s="0" t="n">
        <f aca="false">AE83+AF83</f>
        <v>-4.8943181120565</v>
      </c>
      <c r="AH83" s="0" t="n">
        <f aca="false">IF(AC83&gt;0,MOD(DEGREES(ACOS(((SIN(RADIANS($B$3))*COS(RADIANS(AD83)))-SIN(RADIANS(T83)))/(COS(RADIANS($B$3))*SIN(RADIANS(AD83)))))+180,360),MOD(540-DEGREES(ACOS(((SIN(RADIANS($B$3))*COS(RADIANS(AD83)))-SIN(RADIANS(T83)))/(COS(RADIANS($B$3))*SIN(RADIANS(AD83))))),360))</f>
        <v>127.719582504372</v>
      </c>
    </row>
    <row r="84" customFormat="false" ht="15" hidden="false" customHeight="false" outlineLevel="0" collapsed="false">
      <c r="D84" s="6" t="n">
        <f aca="false">$B$7</f>
        <v>44886</v>
      </c>
      <c r="E84" s="7" t="n">
        <f aca="false">E83+0.1/24</f>
        <v>0.345833333333333</v>
      </c>
      <c r="F84" s="8" t="n">
        <f aca="false">D84+2415018.5+E84-$B$5/24</f>
        <v>2459904.80416667</v>
      </c>
      <c r="G84" s="9" t="n">
        <f aca="false">(F84-2451545)/36525</f>
        <v>0.228878964179786</v>
      </c>
      <c r="I84" s="0" t="n">
        <f aca="false">MOD(280.46646+G84*(36000.76983+G84*0.0003032),360)</f>
        <v>240.285384248613</v>
      </c>
      <c r="J84" s="0" t="n">
        <f aca="false">357.52911+G84*(35999.05029-0.0001537*G84)</f>
        <v>8596.95444377958</v>
      </c>
      <c r="K84" s="0" t="n">
        <f aca="false">0.016708634-G84*(0.000042037+0.0000001267*G84)</f>
        <v>0.0166990059777298</v>
      </c>
      <c r="L84" s="0" t="n">
        <f aca="false">SIN(RADIANS(J84))*(1.914602-G84*(0.004817+0.000014*G84))+SIN(RADIANS(2*J84))*(0.019993-0.000101*G84)+SIN(RADIANS(3*J84))*0.000289</f>
        <v>-1.32626289640806</v>
      </c>
      <c r="M84" s="0" t="n">
        <f aca="false">I84+L84</f>
        <v>238.959121352205</v>
      </c>
      <c r="N84" s="0" t="n">
        <f aca="false">J84+L84</f>
        <v>8595.62818088317</v>
      </c>
      <c r="O84" s="0" t="n">
        <f aca="false">(1.000001018*(1-K84*K84))/(1+K84*COS(RADIANS(N84)))</f>
        <v>0.987929514314065</v>
      </c>
      <c r="P84" s="0" t="n">
        <f aca="false">M84-0.00569-0.00478*SIN(RADIANS(125.04-1934.136*G84))</f>
        <v>238.950210839526</v>
      </c>
      <c r="Q84" s="0" t="n">
        <f aca="false">23+(26+((21.448-G84*(46.815+G84*(0.00059-G84*0.001813))))/60)/60</f>
        <v>23.4363147283673</v>
      </c>
      <c r="R84" s="0" t="n">
        <f aca="false">Q84+0.00256*COS(RADIANS(125.04-1934.136*G84))</f>
        <v>23.4382064703484</v>
      </c>
      <c r="S84" s="0" t="n">
        <f aca="false">DEGREES(ATAN2(COS(RADIANS(P84)),COS(RADIANS(R84))*SIN(RADIANS(P84))))</f>
        <v>-123.272330450027</v>
      </c>
      <c r="T84" s="0" t="n">
        <f aca="false">DEGREES(ASIN(SIN(RADIANS(R84))*SIN(RADIANS(P84))))</f>
        <v>-19.9237041695522</v>
      </c>
      <c r="U84" s="0" t="n">
        <f aca="false">TAN(RADIANS(R84/2))*TAN(RADIANS(R84/2))</f>
        <v>0.0430304332790835</v>
      </c>
      <c r="V84" s="0" t="n">
        <f aca="false">4*DEGREES(U84*SIN(2*RADIANS(I84))-2*K84*SIN(RADIANS(J84))+4*K84*U84*SIN(RADIANS(J84))*COS(2*RADIANS(I84))-0.5*U84*U84*SIN(4*RADIANS(I84))-1.25*K84*K84*SIN(2*RADIANS(J84)))</f>
        <v>14.2099277557964</v>
      </c>
      <c r="W84" s="0" t="n">
        <f aca="false">DEGREES(ACOS(COS(RADIANS(90.833))/(COS(RADIANS($B$3))*COS(RADIANS(T84)))-TAN(RADIANS($B$3))*TAN(RADIANS(T84))))</f>
        <v>43.7067536327513</v>
      </c>
      <c r="X84" s="7" t="n">
        <f aca="false">(720-4*$B$4-V84+$B$5*60)/1440</f>
        <v>0.499868105725141</v>
      </c>
      <c r="Y84" s="7" t="n">
        <f aca="false">X84-W84*4/1440</f>
        <v>0.378460456745277</v>
      </c>
      <c r="Z84" s="7" t="n">
        <f aca="false">X84+W84*4/1440</f>
        <v>0.621275754705006</v>
      </c>
      <c r="AA84" s="10" t="n">
        <f aca="false">8*W84</f>
        <v>349.65402906201</v>
      </c>
      <c r="AB84" s="0" t="n">
        <f aca="false">MOD(E84*1440+V84+4*$B$4-60*$B$5,1440)</f>
        <v>498.189927755796</v>
      </c>
      <c r="AC84" s="0" t="n">
        <f aca="false">IF(AB84/4&lt;0,AB84/4+180,AB84/4-180)</f>
        <v>-55.4525180610509</v>
      </c>
      <c r="AD84" s="0" t="n">
        <f aca="false">DEGREES(ACOS(SIN(RADIANS($B$3))*SIN(RADIANS(T84))+COS(RADIANS($B$3))*COS(RADIANS(T84))*COS(RADIANS(AC84))))</f>
        <v>94.454895087829</v>
      </c>
      <c r="AE84" s="0" t="n">
        <f aca="false">90-AD84</f>
        <v>-4.454895087829</v>
      </c>
      <c r="AF84" s="0" t="n">
        <f aca="false">IF(AE84&gt;85,0,IF(AE84&gt;5,58.1/TAN(RADIANS(AE84))-0.07/POWER(TAN(RADIANS(AE84)),3)+0.000086/POWER(TAN(RADIANS(AE84)),5),IF(AE84&gt;-0.575,1735+AE84*(-518.2+AE84*(103.4+AE84*(-12.79+AE84*0.711))),-20.772/TAN(RADIANS(AE84)))))/3600</f>
        <v>0.0740601448888198</v>
      </c>
      <c r="AG84" s="0" t="n">
        <f aca="false">AE84+AF84</f>
        <v>-4.38083494294018</v>
      </c>
      <c r="AH84" s="0" t="n">
        <f aca="false">IF(AC84&gt;0,MOD(DEGREES(ACOS(((SIN(RADIANS($B$3))*COS(RADIANS(AD84)))-SIN(RADIANS(T84)))/(COS(RADIANS($B$3))*SIN(RADIANS(AD84)))))+180,360),MOD(540-DEGREES(ACOS(((SIN(RADIANS($B$3))*COS(RADIANS(AD84)))-SIN(RADIANS(T84)))/(COS(RADIANS($B$3))*SIN(RADIANS(AD84))))),360))</f>
        <v>129.040131565465</v>
      </c>
    </row>
    <row r="85" customFormat="false" ht="15" hidden="false" customHeight="false" outlineLevel="0" collapsed="false">
      <c r="D85" s="6" t="n">
        <f aca="false">$B$7</f>
        <v>44886</v>
      </c>
      <c r="E85" s="7" t="n">
        <f aca="false">E84+0.1/24</f>
        <v>0.35</v>
      </c>
      <c r="F85" s="8" t="n">
        <f aca="false">D85+2415018.5+E85-$B$5/24</f>
        <v>2459904.80833333</v>
      </c>
      <c r="G85" s="9" t="n">
        <f aca="false">(F85-2451545)/36525</f>
        <v>0.228879078256908</v>
      </c>
      <c r="I85" s="0" t="n">
        <f aca="false">MOD(280.46646+G85*(36000.76983+G85*0.0003032),360)</f>
        <v>240.289491112841</v>
      </c>
      <c r="J85" s="0" t="n">
        <f aca="false">357.52911+G85*(35999.05029-0.0001537*G85)</f>
        <v>8596.95855044762</v>
      </c>
      <c r="K85" s="0" t="n">
        <f aca="false">0.016708634-G85*(0.000042037+0.0000001267*G85)</f>
        <v>0.0166990059729277</v>
      </c>
      <c r="L85" s="0" t="n">
        <f aca="false">SIN(RADIANS(J85))*(1.914602-G85*(0.004817+0.000014*G85))+SIN(RADIANS(2*J85))*(0.019993-0.000101*G85)+SIN(RADIANS(3*J85))*0.000289</f>
        <v>-1.32616250592498</v>
      </c>
      <c r="M85" s="0" t="n">
        <f aca="false">I85+L85</f>
        <v>238.963328606916</v>
      </c>
      <c r="N85" s="0" t="n">
        <f aca="false">J85+L85</f>
        <v>8595.63238794169</v>
      </c>
      <c r="O85" s="0" t="n">
        <f aca="false">(1.000001018*(1-K85*K85))/(1+K85*COS(RADIANS(N85)))</f>
        <v>0.987928677225252</v>
      </c>
      <c r="P85" s="0" t="n">
        <f aca="false">M85-0.00569-0.00478*SIN(RADIANS(125.04-1934.136*G85))</f>
        <v>238.954418107839</v>
      </c>
      <c r="Q85" s="0" t="n">
        <f aca="false">23+(26+((21.448-G85*(46.815+G85*(0.00059-G85*0.001813))))/60)/60</f>
        <v>23.4363147268838</v>
      </c>
      <c r="R85" s="0" t="n">
        <f aca="false">Q85+0.00256*COS(RADIANS(125.04-1934.136*G85))</f>
        <v>23.4382064755069</v>
      </c>
      <c r="S85" s="0" t="n">
        <f aca="false">DEGREES(ATAN2(COS(RADIANS(P85)),COS(RADIANS(R85))*SIN(RADIANS(P85))))</f>
        <v>-123.267963159958</v>
      </c>
      <c r="T85" s="0" t="n">
        <f aca="false">DEGREES(ASIN(SIN(RADIANS(R85))*SIN(RADIANS(P85))))</f>
        <v>-19.924622224848</v>
      </c>
      <c r="U85" s="0" t="n">
        <f aca="false">TAN(RADIANS(R85/2))*TAN(RADIANS(R85/2))</f>
        <v>0.0430304332985635</v>
      </c>
      <c r="V85" s="0" t="n">
        <f aca="false">4*DEGREES(U85*SIN(2*RADIANS(I85))-2*K85*SIN(RADIANS(J85))+4*K85*U85*SIN(RADIANS(J85))*COS(2*RADIANS(I85))-0.5*U85*U85*SIN(4*RADIANS(I85))-1.25*K85*K85*SIN(2*RADIANS(J85)))</f>
        <v>14.2088741942388</v>
      </c>
      <c r="W85" s="0" t="n">
        <f aca="false">DEGREES(ACOS(COS(RADIANS(90.833))/(COS(RADIANS($B$3))*COS(RADIANS(T85)))-TAN(RADIANS($B$3))*TAN(RADIANS(T85))))</f>
        <v>43.7036240657287</v>
      </c>
      <c r="X85" s="7" t="n">
        <f aca="false">(720-4*$B$4-V85+$B$5*60)/1440</f>
        <v>0.499868837365112</v>
      </c>
      <c r="Y85" s="7" t="n">
        <f aca="false">X85-W85*4/1440</f>
        <v>0.378469881626977</v>
      </c>
      <c r="Z85" s="7" t="n">
        <f aca="false">X85+W85*4/1440</f>
        <v>0.621267793103247</v>
      </c>
      <c r="AA85" s="10" t="n">
        <f aca="false">8*W85</f>
        <v>349.628992525829</v>
      </c>
      <c r="AB85" s="0" t="n">
        <f aca="false">MOD(E85*1440+V85+4*$B$4-60*$B$5,1440)</f>
        <v>504.188874194239</v>
      </c>
      <c r="AC85" s="0" t="n">
        <f aca="false">IF(AB85/4&lt;0,AB85/4+180,AB85/4-180)</f>
        <v>-53.9527814514403</v>
      </c>
      <c r="AD85" s="0" t="n">
        <f aca="false">DEGREES(ACOS(SIN(RADIANS($B$3))*SIN(RADIANS(T85))+COS(RADIANS($B$3))*COS(RADIANS(T85))*COS(RADIANS(AC85))))</f>
        <v>93.9583928228523</v>
      </c>
      <c r="AE85" s="0" t="n">
        <f aca="false">90-AD85</f>
        <v>-3.9583928228523</v>
      </c>
      <c r="AF85" s="0" t="n">
        <f aca="false">IF(AE85&gt;85,0,IF(AE85&gt;5,58.1/TAN(RADIANS(AE85))-0.07/POWER(TAN(RADIANS(AE85)),3)+0.000086/POWER(TAN(RADIANS(AE85)),5),IF(AE85&gt;-0.575,1735+AE85*(-518.2+AE85*(103.4+AE85*(-12.79+AE85*0.711))),-20.772/TAN(RADIANS(AE85)))))/3600</f>
        <v>0.0833849783337653</v>
      </c>
      <c r="AG85" s="0" t="n">
        <f aca="false">AE85+AF85</f>
        <v>-3.87500784451854</v>
      </c>
      <c r="AH85" s="0" t="n">
        <f aca="false">IF(AC85&gt;0,MOD(DEGREES(ACOS(((SIN(RADIANS($B$3))*COS(RADIANS(AD85)))-SIN(RADIANS(T85)))/(COS(RADIANS($B$3))*SIN(RADIANS(AD85)))))+180,360),MOD(540-DEGREES(ACOS(((SIN(RADIANS($B$3))*COS(RADIANS(AD85)))-SIN(RADIANS(T85)))/(COS(RADIANS($B$3))*SIN(RADIANS(AD85))))),360))</f>
        <v>130.363354483205</v>
      </c>
    </row>
    <row r="86" customFormat="false" ht="15" hidden="false" customHeight="false" outlineLevel="0" collapsed="false">
      <c r="D86" s="6" t="n">
        <f aca="false">$B$7</f>
        <v>44886</v>
      </c>
      <c r="E86" s="7" t="n">
        <f aca="false">E85+0.1/24</f>
        <v>0.354166666666667</v>
      </c>
      <c r="F86" s="8" t="n">
        <f aca="false">D86+2415018.5+E86-$B$5/24</f>
        <v>2459904.8125</v>
      </c>
      <c r="G86" s="9" t="n">
        <f aca="false">(F86-2451545)/36525</f>
        <v>0.228879192334018</v>
      </c>
      <c r="I86" s="0" t="n">
        <f aca="false">MOD(280.46646+G86*(36000.76983+G86*0.0003032),360)</f>
        <v>240.293597976613</v>
      </c>
      <c r="J86" s="0" t="n">
        <f aca="false">357.52911+G86*(35999.05029-0.0001537*G86)</f>
        <v>8596.96265711521</v>
      </c>
      <c r="K86" s="0" t="n">
        <f aca="false">0.016708634-G86*(0.000042037+0.0000001267*G86)</f>
        <v>0.0166990059681256</v>
      </c>
      <c r="L86" s="0" t="n">
        <f aca="false">SIN(RADIANS(J86))*(1.914602-G86*(0.004817+0.000014*G86))+SIN(RADIANS(2*J86))*(0.019993-0.000101*G86)+SIN(RADIANS(3*J86))*0.000289</f>
        <v>-1.32606210832392</v>
      </c>
      <c r="M86" s="0" t="n">
        <f aca="false">I86+L86</f>
        <v>238.96753586829</v>
      </c>
      <c r="N86" s="0" t="n">
        <f aca="false">J86+L86</f>
        <v>8595.63659500689</v>
      </c>
      <c r="O86" s="0" t="n">
        <f aca="false">(1.000001018*(1-K86*K86))/(1+K86*COS(RADIANS(N86)))</f>
        <v>0.987927840199366</v>
      </c>
      <c r="P86" s="0" t="n">
        <f aca="false">M86-0.00569-0.00478*SIN(RADIANS(125.04-1934.136*G86))</f>
        <v>238.958625382815</v>
      </c>
      <c r="Q86" s="0" t="n">
        <f aca="false">23+(26+((21.448-G86*(46.815+G86*(0.00059-G86*0.001813))))/60)/60</f>
        <v>23.4363147254003</v>
      </c>
      <c r="R86" s="0" t="n">
        <f aca="false">Q86+0.00256*COS(RADIANS(125.04-1934.136*G86))</f>
        <v>23.4382064806654</v>
      </c>
      <c r="S86" s="0" t="n">
        <f aca="false">DEGREES(ATAN2(COS(RADIANS(P86)),COS(RADIANS(R86))*SIN(RADIANS(P86))))</f>
        <v>-123.263595812243</v>
      </c>
      <c r="T86" s="0" t="n">
        <f aca="false">DEGREES(ASIN(SIN(RADIANS(R86))*SIN(RADIANS(P86))))</f>
        <v>-19.9255401749434</v>
      </c>
      <c r="U86" s="0" t="n">
        <f aca="false">TAN(RADIANS(R86/2))*TAN(RADIANS(R86/2))</f>
        <v>0.0430304333180433</v>
      </c>
      <c r="V86" s="0" t="n">
        <f aca="false">4*DEGREES(U86*SIN(2*RADIANS(I86))-2*K86*SIN(RADIANS(J86))+4*K86*U86*SIN(RADIANS(J86))*COS(2*RADIANS(I86))-0.5*U86*U86*SIN(4*RADIANS(I86))-1.25*K86*K86*SIN(2*RADIANS(J86)))</f>
        <v>14.2078204001633</v>
      </c>
      <c r="W86" s="0" t="n">
        <f aca="false">DEGREES(ACOS(COS(RADIANS(90.833))/(COS(RADIANS($B$3))*COS(RADIANS(T86)))-TAN(RADIANS($B$3))*TAN(RADIANS(T86))))</f>
        <v>43.7004946429011</v>
      </c>
      <c r="X86" s="7" t="n">
        <f aca="false">(720-4*$B$4-V86+$B$5*60)/1440</f>
        <v>0.499869569166553</v>
      </c>
      <c r="Y86" s="7" t="n">
        <f aca="false">X86-W86*4/1440</f>
        <v>0.378479306269606</v>
      </c>
      <c r="Z86" s="7" t="n">
        <f aca="false">X86+W86*4/1440</f>
        <v>0.621259832063501</v>
      </c>
      <c r="AA86" s="10" t="n">
        <f aca="false">8*W86</f>
        <v>349.603957143209</v>
      </c>
      <c r="AB86" s="0" t="n">
        <f aca="false">MOD(E86*1440+V86+4*$B$4-60*$B$5,1440)</f>
        <v>510.187820400163</v>
      </c>
      <c r="AC86" s="0" t="n">
        <f aca="false">IF(AB86/4&lt;0,AB86/4+180,AB86/4-180)</f>
        <v>-52.4530448999592</v>
      </c>
      <c r="AD86" s="0" t="n">
        <f aca="false">DEGREES(ACOS(SIN(RADIANS($B$3))*SIN(RADIANS(T86))+COS(RADIANS($B$3))*COS(RADIANS(T86))*COS(RADIANS(AC86))))</f>
        <v>93.4715716661428</v>
      </c>
      <c r="AE86" s="0" t="n">
        <f aca="false">90-AD86</f>
        <v>-3.47157166614284</v>
      </c>
      <c r="AF86" s="0" t="n">
        <f aca="false">IF(AE86&gt;85,0,IF(AE86&gt;5,58.1/TAN(RADIANS(AE86))-0.07/POWER(TAN(RADIANS(AE86)),3)+0.000086/POWER(TAN(RADIANS(AE86)),5),IF(AE86&gt;-0.575,1735+AE86*(-518.2+AE86*(103.4+AE86*(-12.79+AE86*0.711))),-20.772/TAN(RADIANS(AE86)))))/3600</f>
        <v>0.0951131128277272</v>
      </c>
      <c r="AG86" s="0" t="n">
        <f aca="false">AE86+AF86</f>
        <v>-3.37645855331511</v>
      </c>
      <c r="AH86" s="0" t="n">
        <f aca="false">IF(AC86&gt;0,MOD(DEGREES(ACOS(((SIN(RADIANS($B$3))*COS(RADIANS(AD86)))-SIN(RADIANS(T86)))/(COS(RADIANS($B$3))*SIN(RADIANS(AD86)))))+180,360),MOD(540-DEGREES(ACOS(((SIN(RADIANS($B$3))*COS(RADIANS(AD86)))-SIN(RADIANS(T86)))/(COS(RADIANS($B$3))*SIN(RADIANS(AD86))))),360))</f>
        <v>131.689391978172</v>
      </c>
    </row>
    <row r="87" customFormat="false" ht="15" hidden="false" customHeight="false" outlineLevel="0" collapsed="false">
      <c r="D87" s="6" t="n">
        <f aca="false">$B$7</f>
        <v>44886</v>
      </c>
      <c r="E87" s="7" t="n">
        <f aca="false">E86+0.1/24</f>
        <v>0.358333333333333</v>
      </c>
      <c r="F87" s="8" t="n">
        <f aca="false">D87+2415018.5+E87-$B$5/24</f>
        <v>2459904.81666667</v>
      </c>
      <c r="G87" s="9" t="n">
        <f aca="false">(F87-2451545)/36525</f>
        <v>0.22887930641114</v>
      </c>
      <c r="I87" s="0" t="n">
        <f aca="false">MOD(280.46646+G87*(36000.76983+G87*0.0003032),360)</f>
        <v>240.297704840845</v>
      </c>
      <c r="J87" s="0" t="n">
        <f aca="false">357.52911+G87*(35999.05029-0.0001537*G87)</f>
        <v>8596.96676378326</v>
      </c>
      <c r="K87" s="0" t="n">
        <f aca="false">0.016708634-G87*(0.000042037+0.0000001267*G87)</f>
        <v>0.0166990059633235</v>
      </c>
      <c r="L87" s="0" t="n">
        <f aca="false">SIN(RADIANS(J87))*(1.914602-G87*(0.004817+0.000014*G87))+SIN(RADIANS(2*J87))*(0.019993-0.000101*G87)+SIN(RADIANS(3*J87))*0.000289</f>
        <v>-1.3259617035831</v>
      </c>
      <c r="M87" s="0" t="n">
        <f aca="false">I87+L87</f>
        <v>238.971743137262</v>
      </c>
      <c r="N87" s="0" t="n">
        <f aca="false">J87+L87</f>
        <v>8595.64080207967</v>
      </c>
      <c r="O87" s="0" t="n">
        <f aca="false">(1.000001018*(1-K87*K87))/(1+K87*COS(RADIANS(N87)))</f>
        <v>0.987927003236228</v>
      </c>
      <c r="P87" s="0" t="n">
        <f aca="false">M87-0.00569-0.00478*SIN(RADIANS(125.04-1934.136*G87))</f>
        <v>238.96283266539</v>
      </c>
      <c r="Q87" s="0" t="n">
        <f aca="false">23+(26+((21.448-G87*(46.815+G87*(0.00059-G87*0.001813))))/60)/60</f>
        <v>23.4363147239169</v>
      </c>
      <c r="R87" s="0" t="n">
        <f aca="false">Q87+0.00256*COS(RADIANS(125.04-1934.136*G87))</f>
        <v>23.4382064858239</v>
      </c>
      <c r="S87" s="0" t="n">
        <f aca="false">DEGREES(ATAN2(COS(RADIANS(P87)),COS(RADIANS(R87))*SIN(RADIANS(P87))))</f>
        <v>-123.259228405916</v>
      </c>
      <c r="T87" s="0" t="n">
        <f aca="false">DEGREES(ASIN(SIN(RADIANS(R87))*SIN(RADIANS(P87))))</f>
        <v>-19.9264580200355</v>
      </c>
      <c r="U87" s="0" t="n">
        <f aca="false">TAN(RADIANS(R87/2))*TAN(RADIANS(R87/2))</f>
        <v>0.0430304333375231</v>
      </c>
      <c r="V87" s="0" t="n">
        <f aca="false">4*DEGREES(U87*SIN(2*RADIANS(I87))-2*K87*SIN(RADIANS(J87))+4*K87*U87*SIN(RADIANS(J87))*COS(2*RADIANS(I87))-0.5*U87*U87*SIN(4*RADIANS(I87))-1.25*K87*K87*SIN(2*RADIANS(J87)))</f>
        <v>14.2067663733493</v>
      </c>
      <c r="W87" s="0" t="n">
        <f aca="false">DEGREES(ACOS(COS(RADIANS(90.833))/(COS(RADIANS($B$3))*COS(RADIANS(T87)))-TAN(RADIANS($B$3))*TAN(RADIANS(T87))))</f>
        <v>43.6973653636228</v>
      </c>
      <c r="X87" s="7" t="n">
        <f aca="false">(720-4*$B$4-V87+$B$5*60)/1440</f>
        <v>0.499870301129619</v>
      </c>
      <c r="Y87" s="7" t="n">
        <f aca="false">X87-W87*4/1440</f>
        <v>0.378488730675111</v>
      </c>
      <c r="Z87" s="7" t="n">
        <f aca="false">X87+W87*4/1440</f>
        <v>0.621251871584126</v>
      </c>
      <c r="AA87" s="10" t="n">
        <f aca="false">8*W87</f>
        <v>349.578922908983</v>
      </c>
      <c r="AB87" s="0" t="n">
        <f aca="false">MOD(E87*1440+V87+4*$B$4-60*$B$5,1440)</f>
        <v>516.186766373349</v>
      </c>
      <c r="AC87" s="0" t="n">
        <f aca="false">IF(AB87/4&lt;0,AB87/4+180,AB87/4-180)</f>
        <v>-50.9533084066627</v>
      </c>
      <c r="AD87" s="0" t="n">
        <f aca="false">DEGREES(ACOS(SIN(RADIANS($B$3))*SIN(RADIANS(T87))+COS(RADIANS($B$3))*COS(RADIANS(T87))*COS(RADIANS(AC87))))</f>
        <v>92.9947141685285</v>
      </c>
      <c r="AE87" s="0" t="n">
        <f aca="false">90-AD87</f>
        <v>-2.9947141685285</v>
      </c>
      <c r="AF87" s="0" t="n">
        <f aca="false">IF(AE87&gt;85,0,IF(AE87&gt;5,58.1/TAN(RADIANS(AE87))-0.07/POWER(TAN(RADIANS(AE87)),3)+0.000086/POWER(TAN(RADIANS(AE87)),5),IF(AE87&gt;-0.575,1735+AE87*(-518.2+AE87*(103.4+AE87*(-12.79+AE87*0.711))),-20.772/TAN(RADIANS(AE87)))))/3600</f>
        <v>0.110292843173689</v>
      </c>
      <c r="AG87" s="0" t="n">
        <f aca="false">AE87+AF87</f>
        <v>-2.88442132535481</v>
      </c>
      <c r="AH87" s="0" t="n">
        <f aca="false">IF(AC87&gt;0,MOD(DEGREES(ACOS(((SIN(RADIANS($B$3))*COS(RADIANS(AD87)))-SIN(RADIANS(T87)))/(COS(RADIANS($B$3))*SIN(RADIANS(AD87)))))+180,360),MOD(540-DEGREES(ACOS(((SIN(RADIANS($B$3))*COS(RADIANS(AD87)))-SIN(RADIANS(T87)))/(COS(RADIANS($B$3))*SIN(RADIANS(AD87))))),360))</f>
        <v>133.01837260685</v>
      </c>
    </row>
    <row r="88" customFormat="false" ht="15" hidden="false" customHeight="false" outlineLevel="0" collapsed="false">
      <c r="D88" s="6" t="n">
        <f aca="false">$B$7</f>
        <v>44886</v>
      </c>
      <c r="E88" s="7" t="n">
        <f aca="false">E87+0.1/24</f>
        <v>0.3625</v>
      </c>
      <c r="F88" s="8" t="n">
        <f aca="false">D88+2415018.5+E88-$B$5/24</f>
        <v>2459904.82083333</v>
      </c>
      <c r="G88" s="9" t="n">
        <f aca="false">(F88-2451545)/36525</f>
        <v>0.228879420488249</v>
      </c>
      <c r="I88" s="0" t="n">
        <f aca="false">MOD(280.46646+G88*(36000.76983+G88*0.0003032),360)</f>
        <v>240.301811704618</v>
      </c>
      <c r="J88" s="0" t="n">
        <f aca="false">357.52911+G88*(35999.05029-0.0001537*G88)</f>
        <v>8596.97087045084</v>
      </c>
      <c r="K88" s="0" t="n">
        <f aca="false">0.016708634-G88*(0.000042037+0.0000001267*G88)</f>
        <v>0.0166990059585215</v>
      </c>
      <c r="L88" s="0" t="n">
        <f aca="false">SIN(RADIANS(J88))*(1.914602-G88*(0.004817+0.000014*G88))+SIN(RADIANS(2*J88))*(0.019993-0.000101*G88)+SIN(RADIANS(3*J88))*0.000289</f>
        <v>-1.3258612917255</v>
      </c>
      <c r="M88" s="0" t="n">
        <f aca="false">I88+L88</f>
        <v>238.975950412892</v>
      </c>
      <c r="N88" s="0" t="n">
        <f aca="false">J88+L88</f>
        <v>8595.64500915912</v>
      </c>
      <c r="O88" s="0" t="n">
        <f aca="false">(1.000001018*(1-K88*K88))/(1+K88*COS(RADIANS(N88)))</f>
        <v>0.987926166336027</v>
      </c>
      <c r="P88" s="0" t="n">
        <f aca="false">M88-0.00569-0.00478*SIN(RADIANS(125.04-1934.136*G88))</f>
        <v>238.967039954623</v>
      </c>
      <c r="Q88" s="0" t="n">
        <f aca="false">23+(26+((21.448-G88*(46.815+G88*(0.00059-G88*0.001813))))/60)/60</f>
        <v>23.4363147224334</v>
      </c>
      <c r="R88" s="0" t="n">
        <f aca="false">Q88+0.00256*COS(RADIANS(125.04-1934.136*G88))</f>
        <v>23.4382064909823</v>
      </c>
      <c r="S88" s="0" t="n">
        <f aca="false">DEGREES(ATAN2(COS(RADIANS(P88)),COS(RADIANS(R88))*SIN(RADIANS(P88))))</f>
        <v>-123.254860941953</v>
      </c>
      <c r="T88" s="0" t="n">
        <f aca="false">DEGREES(ASIN(SIN(RADIANS(R88))*SIN(RADIANS(P88))))</f>
        <v>-19.927375759912</v>
      </c>
      <c r="U88" s="0" t="n">
        <f aca="false">TAN(RADIANS(R88/2))*TAN(RADIANS(R88/2))</f>
        <v>0.0430304333570027</v>
      </c>
      <c r="V88" s="0" t="n">
        <f aca="false">4*DEGREES(U88*SIN(2*RADIANS(I88))-2*K88*SIN(RADIANS(J88))+4*K88*U88*SIN(RADIANS(J88))*COS(2*RADIANS(I88))-0.5*U88*U88*SIN(4*RADIANS(I88))-1.25*K88*K88*SIN(2*RADIANS(J88)))</f>
        <v>14.2057121140461</v>
      </c>
      <c r="W88" s="0" t="n">
        <f aca="false">DEGREES(ACOS(COS(RADIANS(90.833))/(COS(RADIANS($B$3))*COS(RADIANS(T88)))-TAN(RADIANS($B$3))*TAN(RADIANS(T88))))</f>
        <v>43.6942362286424</v>
      </c>
      <c r="X88" s="7" t="n">
        <f aca="false">(720-4*$B$4-V88+$B$5*60)/1440</f>
        <v>0.499871033254135</v>
      </c>
      <c r="Y88" s="7" t="n">
        <f aca="false">X88-W88*4/1440</f>
        <v>0.378498154841239</v>
      </c>
      <c r="Z88" s="7" t="n">
        <f aca="false">X88+W88*4/1440</f>
        <v>0.62124391166703</v>
      </c>
      <c r="AA88" s="10" t="n">
        <f aca="false">8*W88</f>
        <v>349.553889829139</v>
      </c>
      <c r="AB88" s="0" t="n">
        <f aca="false">MOD(E88*1440+V88+4*$B$4-60*$B$5,1440)</f>
        <v>522.185712114046</v>
      </c>
      <c r="AC88" s="0" t="n">
        <f aca="false">IF(AB88/4&lt;0,AB88/4+180,AB88/4-180)</f>
        <v>-49.4535719714885</v>
      </c>
      <c r="AD88" s="0" t="n">
        <f aca="false">DEGREES(ACOS(SIN(RADIANS($B$3))*SIN(RADIANS(T88))+COS(RADIANS($B$3))*COS(RADIANS(T88))*COS(RADIANS(AC88))))</f>
        <v>92.5281001679623</v>
      </c>
      <c r="AE88" s="0" t="n">
        <f aca="false">90-AD88</f>
        <v>-2.52810016796234</v>
      </c>
      <c r="AF88" s="0" t="n">
        <f aca="false">IF(AE88&gt;85,0,IF(AE88&gt;5,58.1/TAN(RADIANS(AE88))-0.07/POWER(TAN(RADIANS(AE88)),3)+0.000086/POWER(TAN(RADIANS(AE88)),5),IF(AE88&gt;-0.575,1735+AE88*(-518.2+AE88*(103.4+AE88*(-12.79+AE88*0.711))),-20.772/TAN(RADIANS(AE88)))))/3600</f>
        <v>0.130683933372707</v>
      </c>
      <c r="AG88" s="0" t="n">
        <f aca="false">AE88+AF88</f>
        <v>-2.39741623458963</v>
      </c>
      <c r="AH88" s="0" t="n">
        <f aca="false">IF(AC88&gt;0,MOD(DEGREES(ACOS(((SIN(RADIANS($B$3))*COS(RADIANS(AD88)))-SIN(RADIANS(T88)))/(COS(RADIANS($B$3))*SIN(RADIANS(AD88)))))+180,360),MOD(540-DEGREES(ACOS(((SIN(RADIANS($B$3))*COS(RADIANS(AD88)))-SIN(RADIANS(T88)))/(COS(RADIANS($B$3))*SIN(RADIANS(AD88))))),360))</f>
        <v>134.350412589212</v>
      </c>
    </row>
    <row r="89" customFormat="false" ht="15" hidden="false" customHeight="false" outlineLevel="0" collapsed="false">
      <c r="D89" s="6" t="n">
        <f aca="false">$B$7</f>
        <v>44886</v>
      </c>
      <c r="E89" s="7" t="n">
        <f aca="false">E88+0.1/24</f>
        <v>0.366666666666667</v>
      </c>
      <c r="F89" s="8" t="n">
        <f aca="false">D89+2415018.5+E89-$B$5/24</f>
        <v>2459904.825</v>
      </c>
      <c r="G89" s="9" t="n">
        <f aca="false">(F89-2451545)/36525</f>
        <v>0.228879534565371</v>
      </c>
      <c r="I89" s="0" t="n">
        <f aca="false">MOD(280.46646+G89*(36000.76983+G89*0.0003032),360)</f>
        <v>240.305918568847</v>
      </c>
      <c r="J89" s="0" t="n">
        <f aca="false">357.52911+G89*(35999.05029-0.0001537*G89)</f>
        <v>8596.97497711889</v>
      </c>
      <c r="K89" s="0" t="n">
        <f aca="false">0.016708634-G89*(0.000042037+0.0000001267*G89)</f>
        <v>0.0166990059537194</v>
      </c>
      <c r="L89" s="0" t="n">
        <f aca="false">SIN(RADIANS(J89))*(1.914602-G89*(0.004817+0.000014*G89))+SIN(RADIANS(2*J89))*(0.019993-0.000101*G89)+SIN(RADIANS(3*J89))*0.000289</f>
        <v>-1.32576087272909</v>
      </c>
      <c r="M89" s="0" t="n">
        <f aca="false">I89+L89</f>
        <v>238.980157696118</v>
      </c>
      <c r="N89" s="0" t="n">
        <f aca="false">J89+L89</f>
        <v>8595.64921624616</v>
      </c>
      <c r="O89" s="0" t="n">
        <f aca="false">(1.000001018*(1-K89*K89))/(1+K89*COS(RADIANS(N89)))</f>
        <v>0.987925329498583</v>
      </c>
      <c r="P89" s="0" t="n">
        <f aca="false">M89-0.00569-0.00478*SIN(RADIANS(125.04-1934.136*G89))</f>
        <v>238.971247251451</v>
      </c>
      <c r="Q89" s="0" t="n">
        <f aca="false">23+(26+((21.448-G89*(46.815+G89*(0.00059-G89*0.001813))))/60)/60</f>
        <v>23.4363147209499</v>
      </c>
      <c r="R89" s="0" t="n">
        <f aca="false">Q89+0.00256*COS(RADIANS(125.04-1934.136*G89))</f>
        <v>23.4382064961407</v>
      </c>
      <c r="S89" s="0" t="n">
        <f aca="false">DEGREES(ATAN2(COS(RADIANS(P89)),COS(RADIANS(R89))*SIN(RADIANS(P89))))</f>
        <v>-123.250493419385</v>
      </c>
      <c r="T89" s="0" t="n">
        <f aca="false">DEGREES(ASIN(SIN(RADIANS(R89))*SIN(RADIANS(P89))))</f>
        <v>-19.9282933947703</v>
      </c>
      <c r="U89" s="0" t="n">
        <f aca="false">TAN(RADIANS(R89/2))*TAN(RADIANS(R89/2))</f>
        <v>0.0430304333764822</v>
      </c>
      <c r="V89" s="0" t="n">
        <f aca="false">4*DEGREES(U89*SIN(2*RADIANS(I89))-2*K89*SIN(RADIANS(J89))+4*K89*U89*SIN(RADIANS(J89))*COS(2*RADIANS(I89))-0.5*U89*U89*SIN(4*RADIANS(I89))-1.25*K89*K89*SIN(2*RADIANS(J89)))</f>
        <v>14.2046576220316</v>
      </c>
      <c r="W89" s="0" t="n">
        <f aca="false">DEGREES(ACOS(COS(RADIANS(90.833))/(COS(RADIANS($B$3))*COS(RADIANS(T89)))-TAN(RADIANS($B$3))*TAN(RADIANS(T89))))</f>
        <v>43.6911072373125</v>
      </c>
      <c r="X89" s="7" t="n">
        <f aca="false">(720-4*$B$4-V89+$B$5*60)/1440</f>
        <v>0.499871765540256</v>
      </c>
      <c r="Y89" s="7" t="n">
        <f aca="false">X89-W89*4/1440</f>
        <v>0.378507578769944</v>
      </c>
      <c r="Z89" s="7" t="n">
        <f aca="false">X89+W89*4/1440</f>
        <v>0.621235952310568</v>
      </c>
      <c r="AA89" s="10" t="n">
        <f aca="false">8*W89</f>
        <v>349.5288578985</v>
      </c>
      <c r="AB89" s="0" t="n">
        <f aca="false">MOD(E89*1440+V89+4*$B$4-60*$B$5,1440)</f>
        <v>528.184657622031</v>
      </c>
      <c r="AC89" s="0" t="n">
        <f aca="false">IF(AB89/4&lt;0,AB89/4+180,AB89/4-180)</f>
        <v>-47.9538355944922</v>
      </c>
      <c r="AD89" s="0" t="n">
        <f aca="false">DEGREES(ACOS(SIN(RADIANS($B$3))*SIN(RADIANS(T89))+COS(RADIANS($B$3))*COS(RADIANS(T89))*COS(RADIANS(AC89))))</f>
        <v>92.0720065778598</v>
      </c>
      <c r="AE89" s="0" t="n">
        <f aca="false">90-AD89</f>
        <v>-2.07200657785978</v>
      </c>
      <c r="AF89" s="0" t="n">
        <f aca="false">IF(AE89&gt;85,0,IF(AE89&gt;5,58.1/TAN(RADIANS(AE89))-0.07/POWER(TAN(RADIANS(AE89)),3)+0.000086/POWER(TAN(RADIANS(AE89)),5),IF(AE89&gt;-0.575,1735+AE89*(-518.2+AE89*(103.4+AE89*(-12.79+AE89*0.711))),-20.772/TAN(RADIANS(AE89)))))/3600</f>
        <v>0.159484299951537</v>
      </c>
      <c r="AG89" s="0" t="n">
        <f aca="false">AE89+AF89</f>
        <v>-1.91252227790824</v>
      </c>
      <c r="AH89" s="0" t="n">
        <f aca="false">IF(AC89&gt;0,MOD(DEGREES(ACOS(((SIN(RADIANS($B$3))*COS(RADIANS(AD89)))-SIN(RADIANS(T89)))/(COS(RADIANS($B$3))*SIN(RADIANS(AD89)))))+180,360),MOD(540-DEGREES(ACOS(((SIN(RADIANS($B$3))*COS(RADIANS(AD89)))-SIN(RADIANS(T89)))/(COS(RADIANS($B$3))*SIN(RADIANS(AD89))))),360))</f>
        <v>135.685615644712</v>
      </c>
    </row>
    <row r="90" customFormat="false" ht="15" hidden="false" customHeight="false" outlineLevel="0" collapsed="false">
      <c r="D90" s="6" t="n">
        <f aca="false">$B$7</f>
        <v>44886</v>
      </c>
      <c r="E90" s="7" t="n">
        <f aca="false">E89+0.1/24</f>
        <v>0.370833333333333</v>
      </c>
      <c r="F90" s="8" t="n">
        <f aca="false">D90+2415018.5+E90-$B$5/24</f>
        <v>2459904.82916667</v>
      </c>
      <c r="G90" s="9" t="n">
        <f aca="false">(F90-2451545)/36525</f>
        <v>0.228879648642481</v>
      </c>
      <c r="I90" s="0" t="n">
        <f aca="false">MOD(280.46646+G90*(36000.76983+G90*0.0003032),360)</f>
        <v>240.310025432618</v>
      </c>
      <c r="J90" s="0" t="n">
        <f aca="false">357.52911+G90*(35999.05029-0.0001537*G90)</f>
        <v>8596.97908378648</v>
      </c>
      <c r="K90" s="0" t="n">
        <f aca="false">0.016708634-G90*(0.000042037+0.0000001267*G90)</f>
        <v>0.0166990059489173</v>
      </c>
      <c r="L90" s="0" t="n">
        <f aca="false">SIN(RADIANS(J90))*(1.914602-G90*(0.004817+0.000014*G90))+SIN(RADIANS(2*J90))*(0.019993-0.000101*G90)+SIN(RADIANS(3*J90))*0.000289</f>
        <v>-1.32566044661693</v>
      </c>
      <c r="M90" s="0" t="n">
        <f aca="false">I90+L90</f>
        <v>238.984364986001</v>
      </c>
      <c r="N90" s="0" t="n">
        <f aca="false">J90+L90</f>
        <v>8595.65342333986</v>
      </c>
      <c r="O90" s="0" t="n">
        <f aca="false">(1.000001018*(1-K90*K90))/(1+K90*COS(RADIANS(N90)))</f>
        <v>0.987924492724086</v>
      </c>
      <c r="P90" s="0" t="n">
        <f aca="false">M90-0.00569-0.00478*SIN(RADIANS(125.04-1934.136*G90))</f>
        <v>238.975454554937</v>
      </c>
      <c r="Q90" s="0" t="n">
        <f aca="false">23+(26+((21.448-G90*(46.815+G90*(0.00059-G90*0.001813))))/60)/60</f>
        <v>23.4363147194664</v>
      </c>
      <c r="R90" s="0" t="n">
        <f aca="false">Q90+0.00256*COS(RADIANS(125.04-1934.136*G90))</f>
        <v>23.4382065012991</v>
      </c>
      <c r="S90" s="0" t="n">
        <f aca="false">DEGREES(ATAN2(COS(RADIANS(P90)),COS(RADIANS(R90))*SIN(RADIANS(P90))))</f>
        <v>-123.246125839188</v>
      </c>
      <c r="T90" s="0" t="n">
        <f aca="false">DEGREES(ASIN(SIN(RADIANS(R90))*SIN(RADIANS(P90))))</f>
        <v>-19.9292109243986</v>
      </c>
      <c r="U90" s="0" t="n">
        <f aca="false">TAN(RADIANS(R90/2))*TAN(RADIANS(R90/2))</f>
        <v>0.0430304333959616</v>
      </c>
      <c r="V90" s="0" t="n">
        <f aca="false">4*DEGREES(U90*SIN(2*RADIANS(I90))-2*K90*SIN(RADIANS(J90))+4*K90*U90*SIN(RADIANS(J90))*COS(2*RADIANS(I90))-0.5*U90*U90*SIN(4*RADIANS(I90))-1.25*K90*K90*SIN(2*RADIANS(J90)))</f>
        <v>14.203602897555</v>
      </c>
      <c r="W90" s="0" t="n">
        <f aca="false">DEGREES(ACOS(COS(RADIANS(90.833))/(COS(RADIANS($B$3))*COS(RADIANS(T90)))-TAN(RADIANS($B$3))*TAN(RADIANS(T90))))</f>
        <v>43.6879783903803</v>
      </c>
      <c r="X90" s="7" t="n">
        <f aca="false">(720-4*$B$4-V90+$B$5*60)/1440</f>
        <v>0.499872497987809</v>
      </c>
      <c r="Y90" s="7" t="n">
        <f aca="false">X90-W90*4/1440</f>
        <v>0.378517002458975</v>
      </c>
      <c r="Z90" s="7" t="n">
        <f aca="false">X90+W90*4/1440</f>
        <v>0.621227993516643</v>
      </c>
      <c r="AA90" s="10" t="n">
        <f aca="false">8*W90</f>
        <v>349.503827123043</v>
      </c>
      <c r="AB90" s="0" t="n">
        <f aca="false">MOD(E90*1440+V90+4*$B$4-60*$B$5,1440)</f>
        <v>534.183602897555</v>
      </c>
      <c r="AC90" s="0" t="n">
        <f aca="false">IF(AB90/4&lt;0,AB90/4+180,AB90/4-180)</f>
        <v>-46.4540992756113</v>
      </c>
      <c r="AD90" s="0" t="n">
        <f aca="false">DEGREES(ACOS(SIN(RADIANS($B$3))*SIN(RADIANS(T90))+COS(RADIANS($B$3))*COS(RADIANS(T90))*COS(RADIANS(AC90))))</f>
        <v>91.6267071558706</v>
      </c>
      <c r="AE90" s="0" t="n">
        <f aca="false">90-AD90</f>
        <v>-1.62670715587055</v>
      </c>
      <c r="AF90" s="0" t="n">
        <f aca="false">IF(AE90&gt;85,0,IF(AE90&gt;5,58.1/TAN(RADIANS(AE90))-0.07/POWER(TAN(RADIANS(AE90)),3)+0.000086/POWER(TAN(RADIANS(AE90)),5),IF(AE90&gt;-0.575,1735+AE90*(-518.2+AE90*(103.4+AE90*(-12.79+AE90*0.711))),-20.772/TAN(RADIANS(AE90)))))/3600</f>
        <v>0.203175976487851</v>
      </c>
      <c r="AG90" s="0" t="n">
        <f aca="false">AE90+AF90</f>
        <v>-1.4235311793827</v>
      </c>
      <c r="AH90" s="0" t="n">
        <f aca="false">IF(AC90&gt;0,MOD(DEGREES(ACOS(((SIN(RADIANS($B$3))*COS(RADIANS(AD90)))-SIN(RADIANS(T90)))/(COS(RADIANS($B$3))*SIN(RADIANS(AD90)))))+180,360),MOD(540-DEGREES(ACOS(((SIN(RADIANS($B$3))*COS(RADIANS(AD90)))-SIN(RADIANS(T90)))/(COS(RADIANS($B$3))*SIN(RADIANS(AD90))))),360))</f>
        <v>137.024072838632</v>
      </c>
    </row>
    <row r="91" customFormat="false" ht="15" hidden="false" customHeight="false" outlineLevel="0" collapsed="false">
      <c r="D91" s="6" t="n">
        <f aca="false">$B$7</f>
        <v>44886</v>
      </c>
      <c r="E91" s="7" t="n">
        <f aca="false">E90+0.1/24</f>
        <v>0.375</v>
      </c>
      <c r="F91" s="8" t="n">
        <f aca="false">D91+2415018.5+E91-$B$5/24</f>
        <v>2459904.83333333</v>
      </c>
      <c r="G91" s="9" t="n">
        <f aca="false">(F91-2451545)/36525</f>
        <v>0.228879762719603</v>
      </c>
      <c r="I91" s="0" t="n">
        <f aca="false">MOD(280.46646+G91*(36000.76983+G91*0.0003032),360)</f>
        <v>240.31413229685</v>
      </c>
      <c r="J91" s="0" t="n">
        <f aca="false">357.52911+G91*(35999.05029-0.0001537*G91)</f>
        <v>8596.98319045452</v>
      </c>
      <c r="K91" s="0" t="n">
        <f aca="false">0.016708634-G91*(0.000042037+0.0000001267*G91)</f>
        <v>0.0166990059441152</v>
      </c>
      <c r="L91" s="0" t="n">
        <f aca="false">SIN(RADIANS(J91))*(1.914602-G91*(0.004817+0.000014*G91))+SIN(RADIANS(2*J91))*(0.019993-0.000101*G91)+SIN(RADIANS(3*J91))*0.000289</f>
        <v>-1.32556001336696</v>
      </c>
      <c r="M91" s="0" t="n">
        <f aca="false">I91+L91</f>
        <v>238.988572283483</v>
      </c>
      <c r="N91" s="0" t="n">
        <f aca="false">J91+L91</f>
        <v>8595.65763044116</v>
      </c>
      <c r="O91" s="0" t="n">
        <f aca="false">(1.000001018*(1-K91*K91))/(1+K91*COS(RADIANS(N91)))</f>
        <v>0.987923656012353</v>
      </c>
      <c r="P91" s="0" t="n">
        <f aca="false">M91-0.00569-0.00478*SIN(RADIANS(125.04-1934.136*G91))</f>
        <v>238.979661866021</v>
      </c>
      <c r="Q91" s="0" t="n">
        <f aca="false">23+(26+((21.448-G91*(46.815+G91*(0.00059-G91*0.001813))))/60)/60</f>
        <v>23.4363147179829</v>
      </c>
      <c r="R91" s="0" t="n">
        <f aca="false">Q91+0.00256*COS(RADIANS(125.04-1934.136*G91))</f>
        <v>23.4382065064575</v>
      </c>
      <c r="S91" s="0" t="n">
        <f aca="false">DEGREES(ATAN2(COS(RADIANS(P91)),COS(RADIANS(R91))*SIN(RADIANS(P91))))</f>
        <v>-123.241758200388</v>
      </c>
      <c r="T91" s="0" t="n">
        <f aca="false">DEGREES(ASIN(SIN(RADIANS(R91))*SIN(RADIANS(P91))))</f>
        <v>-19.930128348995</v>
      </c>
      <c r="U91" s="0" t="n">
        <f aca="false">TAN(RADIANS(R91/2))*TAN(RADIANS(R91/2))</f>
        <v>0.0430304334154409</v>
      </c>
      <c r="V91" s="0" t="n">
        <f aca="false">4*DEGREES(U91*SIN(2*RADIANS(I91))-2*K91*SIN(RADIANS(J91))+4*K91*U91*SIN(RADIANS(J91))*COS(2*RADIANS(I91))-0.5*U91*U91*SIN(4*RADIANS(I91))-1.25*K91*K91*SIN(2*RADIANS(J91)))</f>
        <v>14.2025479403937</v>
      </c>
      <c r="W91" s="0" t="n">
        <f aca="false">DEGREES(ACOS(COS(RADIANS(90.833))/(COS(RADIANS($B$3))*COS(RADIANS(T91)))-TAN(RADIANS($B$3))*TAN(RADIANS(T91))))</f>
        <v>43.6848496871962</v>
      </c>
      <c r="X91" s="7" t="n">
        <f aca="false">(720-4*$B$4-V91+$B$5*60)/1440</f>
        <v>0.499873230596949</v>
      </c>
      <c r="Y91" s="7" t="n">
        <f aca="false">X91-W91*4/1440</f>
        <v>0.378526425910293</v>
      </c>
      <c r="Z91" s="7" t="n">
        <f aca="false">X91+W91*4/1440</f>
        <v>0.621220035283605</v>
      </c>
      <c r="AA91" s="10" t="n">
        <f aca="false">8*W91</f>
        <v>349.478797497569</v>
      </c>
      <c r="AB91" s="0" t="n">
        <f aca="false">MOD(E91*1440+V91+4*$B$4-60*$B$5,1440)</f>
        <v>540.182547940394</v>
      </c>
      <c r="AC91" s="0" t="n">
        <f aca="false">IF(AB91/4&lt;0,AB91/4+180,AB91/4-180)</f>
        <v>-44.9543630149016</v>
      </c>
      <c r="AD91" s="0" t="n">
        <f aca="false">DEGREES(ACOS(SIN(RADIANS($B$3))*SIN(RADIANS(T91))+COS(RADIANS($B$3))*COS(RADIANS(T91))*COS(RADIANS(AC91))))</f>
        <v>91.1924722569826</v>
      </c>
      <c r="AE91" s="0" t="n">
        <f aca="false">90-AD91</f>
        <v>-1.19247225698261</v>
      </c>
      <c r="AF91" s="0" t="n">
        <f aca="false">IF(AE91&gt;85,0,IF(AE91&gt;5,58.1/TAN(RADIANS(AE91))-0.07/POWER(TAN(RADIANS(AE91)),3)+0.000086/POWER(TAN(RADIANS(AE91)),5),IF(AE91&gt;-0.575,1735+AE91*(-518.2+AE91*(103.4+AE91*(-12.79+AE91*0.711))),-20.772/TAN(RADIANS(AE91)))))/3600</f>
        <v>0.277196312453671</v>
      </c>
      <c r="AG91" s="0" t="n">
        <f aca="false">AE91+AF91</f>
        <v>-0.915275944528941</v>
      </c>
      <c r="AH91" s="0" t="n">
        <f aca="false">IF(AC91&gt;0,MOD(DEGREES(ACOS(((SIN(RADIANS($B$3))*COS(RADIANS(AD91)))-SIN(RADIANS(T91)))/(COS(RADIANS($B$3))*SIN(RADIANS(AD91)))))+180,360),MOD(540-DEGREES(ACOS(((SIN(RADIANS($B$3))*COS(RADIANS(AD91)))-SIN(RADIANS(T91)))/(COS(RADIANS($B$3))*SIN(RADIANS(AD91))))),360))</f>
        <v>138.365862441367</v>
      </c>
    </row>
    <row r="92" customFormat="false" ht="15" hidden="false" customHeight="false" outlineLevel="0" collapsed="false">
      <c r="D92" s="6" t="n">
        <f aca="false">$B$7</f>
        <v>44886</v>
      </c>
      <c r="E92" s="7" t="n">
        <f aca="false">E91+0.1/24</f>
        <v>0.379166666666667</v>
      </c>
      <c r="F92" s="8" t="n">
        <f aca="false">D92+2415018.5+E92-$B$5/24</f>
        <v>2459904.8375</v>
      </c>
      <c r="G92" s="9" t="n">
        <f aca="false">(F92-2451545)/36525</f>
        <v>0.228879876796725</v>
      </c>
      <c r="I92" s="0" t="n">
        <f aca="false">MOD(280.46646+G92*(36000.76983+G92*0.0003032),360)</f>
        <v>240.318239161081</v>
      </c>
      <c r="J92" s="0" t="n">
        <f aca="false">357.52911+G92*(35999.05029-0.0001537*G92)</f>
        <v>8596.98729712257</v>
      </c>
      <c r="K92" s="0" t="n">
        <f aca="false">0.016708634-G92*(0.000042037+0.0000001267*G92)</f>
        <v>0.0166990059393131</v>
      </c>
      <c r="L92" s="0" t="n">
        <f aca="false">SIN(RADIANS(J92))*(1.914602-G92*(0.004817+0.000014*G92))+SIN(RADIANS(2*J92))*(0.019993-0.000101*G92)+SIN(RADIANS(3*J92))*0.000289</f>
        <v>-1.32545957299112</v>
      </c>
      <c r="M92" s="0" t="n">
        <f aca="false">I92+L92</f>
        <v>238.99277958809</v>
      </c>
      <c r="N92" s="0" t="n">
        <f aca="false">J92+L92</f>
        <v>8595.66183754958</v>
      </c>
      <c r="O92" s="0" t="n">
        <f aca="false">(1.000001018*(1-K92*K92))/(1+K92*COS(RADIANS(N92)))</f>
        <v>0.987922819363484</v>
      </c>
      <c r="P92" s="0" t="n">
        <f aca="false">M92-0.00569-0.00478*SIN(RADIANS(125.04-1934.136*G92))</f>
        <v>238.983869184231</v>
      </c>
      <c r="Q92" s="0" t="n">
        <f aca="false">23+(26+((21.448-G92*(46.815+G92*(0.00059-G92*0.001813))))/60)/60</f>
        <v>23.4363147164995</v>
      </c>
      <c r="R92" s="0" t="n">
        <f aca="false">Q92+0.00256*COS(RADIANS(125.04-1934.136*G92))</f>
        <v>23.4382065116158</v>
      </c>
      <c r="S92" s="0" t="n">
        <f aca="false">DEGREES(ATAN2(COS(RADIANS(P92)),COS(RADIANS(R92))*SIN(RADIANS(P92))))</f>
        <v>-123.237390503478</v>
      </c>
      <c r="T92" s="0" t="n">
        <f aca="false">DEGREES(ASIN(SIN(RADIANS(R92))*SIN(RADIANS(P92))))</f>
        <v>-19.9310456684494</v>
      </c>
      <c r="U92" s="0" t="n">
        <f aca="false">TAN(RADIANS(R92/2))*TAN(RADIANS(R92/2))</f>
        <v>0.0430304334349201</v>
      </c>
      <c r="V92" s="0" t="n">
        <f aca="false">4*DEGREES(U92*SIN(2*RADIANS(I92))-2*K92*SIN(RADIANS(J92))+4*K92*U92*SIN(RADIANS(J92))*COS(2*RADIANS(I92))-0.5*U92*U92*SIN(4*RADIANS(I92))-1.25*K92*K92*SIN(2*RADIANS(J92)))</f>
        <v>14.2014927506802</v>
      </c>
      <c r="W92" s="0" t="n">
        <f aca="false">DEGREES(ACOS(COS(RADIANS(90.833))/(COS(RADIANS($B$3))*COS(RADIANS(T92)))-TAN(RADIANS($B$3))*TAN(RADIANS(T92))))</f>
        <v>43.6817211281606</v>
      </c>
      <c r="X92" s="7" t="n">
        <f aca="false">(720-4*$B$4-V92+$B$5*60)/1440</f>
        <v>0.499873963367583</v>
      </c>
      <c r="Y92" s="7" t="n">
        <f aca="false">X92-W92*4/1440</f>
        <v>0.378535849122693</v>
      </c>
      <c r="Z92" s="7" t="n">
        <f aca="false">X92+W92*4/1440</f>
        <v>0.621212077612474</v>
      </c>
      <c r="AA92" s="10" t="n">
        <f aca="false">8*W92</f>
        <v>349.453769025285</v>
      </c>
      <c r="AB92" s="0" t="n">
        <f aca="false">MOD(E92*1440+V92+4*$B$4-60*$B$5,1440)</f>
        <v>546.18149275068</v>
      </c>
      <c r="AC92" s="0" t="n">
        <f aca="false">IF(AB92/4&lt;0,AB92/4+180,AB92/4-180)</f>
        <v>-43.45462681233</v>
      </c>
      <c r="AD92" s="0" t="n">
        <f aca="false">DEGREES(ACOS(SIN(RADIANS($B$3))*SIN(RADIANS(T92))+COS(RADIANS($B$3))*COS(RADIANS(T92))*COS(RADIANS(AC92))))</f>
        <v>90.7695685682977</v>
      </c>
      <c r="AE92" s="0" t="n">
        <f aca="false">90-AD92</f>
        <v>-0.769568568297672</v>
      </c>
      <c r="AF92" s="0" t="n">
        <f aca="false">IF(AE92&gt;85,0,IF(AE92&gt;5,58.1/TAN(RADIANS(AE92))-0.07/POWER(TAN(RADIANS(AE92)),3)+0.000086/POWER(TAN(RADIANS(AE92)),5),IF(AE92&gt;-0.575,1735+AE92*(-518.2+AE92*(103.4+AE92*(-12.79+AE92*0.711))),-20.772/TAN(RADIANS(AE92)))))/3600</f>
        <v>0.429561160243633</v>
      </c>
      <c r="AG92" s="0" t="n">
        <f aca="false">AE92+AF92</f>
        <v>-0.340007408054039</v>
      </c>
      <c r="AH92" s="0" t="n">
        <f aca="false">IF(AC92&gt;0,MOD(DEGREES(ACOS(((SIN(RADIANS($B$3))*COS(RADIANS(AD92)))-SIN(RADIANS(T92)))/(COS(RADIANS($B$3))*SIN(RADIANS(AD92)))))+180,360),MOD(540-DEGREES(ACOS(((SIN(RADIANS($B$3))*COS(RADIANS(AD92)))-SIN(RADIANS(T92)))/(COS(RADIANS($B$3))*SIN(RADIANS(AD92))))),360))</f>
        <v>139.711049802866</v>
      </c>
    </row>
    <row r="93" customFormat="false" ht="15" hidden="false" customHeight="false" outlineLevel="0" collapsed="false">
      <c r="D93" s="6" t="n">
        <f aca="false">$B$7</f>
        <v>44886</v>
      </c>
      <c r="E93" s="7" t="n">
        <f aca="false">E92+0.1/24</f>
        <v>0.383333333333333</v>
      </c>
      <c r="F93" s="8" t="n">
        <f aca="false">D93+2415018.5+E93-$B$5/24</f>
        <v>2459904.84166667</v>
      </c>
      <c r="G93" s="9" t="n">
        <f aca="false">(F93-2451545)/36525</f>
        <v>0.228879990873834</v>
      </c>
      <c r="I93" s="0" t="n">
        <f aca="false">MOD(280.46646+G93*(36000.76983+G93*0.0003032),360)</f>
        <v>240.322346024852</v>
      </c>
      <c r="J93" s="0" t="n">
        <f aca="false">357.52911+G93*(35999.05029-0.0001537*G93)</f>
        <v>8596.99140379016</v>
      </c>
      <c r="K93" s="0" t="n">
        <f aca="false">0.016708634-G93*(0.000042037+0.0000001267*G93)</f>
        <v>0.0166990059345111</v>
      </c>
      <c r="L93" s="0" t="n">
        <f aca="false">SIN(RADIANS(J93))*(1.914602-G93*(0.004817+0.000014*G93))+SIN(RADIANS(2*J93))*(0.019993-0.000101*G93)+SIN(RADIANS(3*J93))*0.000289</f>
        <v>-1.32535912550093</v>
      </c>
      <c r="M93" s="0" t="n">
        <f aca="false">I93+L93</f>
        <v>238.996986899351</v>
      </c>
      <c r="N93" s="0" t="n">
        <f aca="false">J93+L93</f>
        <v>8595.66604466466</v>
      </c>
      <c r="O93" s="0" t="n">
        <f aca="false">(1.000001018*(1-K93*K93))/(1+K93*COS(RADIANS(N93)))</f>
        <v>0.987921982777577</v>
      </c>
      <c r="P93" s="0" t="n">
        <f aca="false">M93-0.00569-0.00478*SIN(RADIANS(125.04-1934.136*G93))</f>
        <v>238.988076509095</v>
      </c>
      <c r="Q93" s="0" t="n">
        <f aca="false">23+(26+((21.448-G93*(46.815+G93*(0.00059-G93*0.001813))))/60)/60</f>
        <v>23.436314715016</v>
      </c>
      <c r="R93" s="0" t="n">
        <f aca="false">Q93+0.00256*COS(RADIANS(125.04-1934.136*G93))</f>
        <v>23.4382065167741</v>
      </c>
      <c r="S93" s="0" t="n">
        <f aca="false">DEGREES(ATAN2(COS(RADIANS(P93)),COS(RADIANS(R93))*SIN(RADIANS(P93))))</f>
        <v>-123.23302274895</v>
      </c>
      <c r="T93" s="0" t="n">
        <f aca="false">DEGREES(ASIN(SIN(RADIANS(R93))*SIN(RADIANS(P93))))</f>
        <v>-19.9319628826518</v>
      </c>
      <c r="U93" s="0" t="n">
        <f aca="false">TAN(RADIANS(R93/2))*TAN(RADIANS(R93/2))</f>
        <v>0.0430304334543993</v>
      </c>
      <c r="V93" s="0" t="n">
        <f aca="false">4*DEGREES(U93*SIN(2*RADIANS(I93))-2*K93*SIN(RADIANS(J93))+4*K93*U93*SIN(RADIANS(J93))*COS(2*RADIANS(I93))-0.5*U93*U93*SIN(4*RADIANS(I93))-1.25*K93*K93*SIN(2*RADIANS(J93)))</f>
        <v>14.2004373285454</v>
      </c>
      <c r="W93" s="0" t="n">
        <f aca="false">DEGREES(ACOS(COS(RADIANS(90.833))/(COS(RADIANS($B$3))*COS(RADIANS(T93)))-TAN(RADIANS($B$3))*TAN(RADIANS(T93))))</f>
        <v>43.6785927136741</v>
      </c>
      <c r="X93" s="7" t="n">
        <f aca="false">(720-4*$B$4-V93+$B$5*60)/1440</f>
        <v>0.499874696299621</v>
      </c>
      <c r="Y93" s="7" t="n">
        <f aca="false">X93-W93*4/1440</f>
        <v>0.378545272094971</v>
      </c>
      <c r="Z93" s="7" t="n">
        <f aca="false">X93+W93*4/1440</f>
        <v>0.621204120504271</v>
      </c>
      <c r="AA93" s="10" t="n">
        <f aca="false">8*W93</f>
        <v>349.428741709392</v>
      </c>
      <c r="AB93" s="0" t="n">
        <f aca="false">MOD(E93*1440+V93+4*$B$4-60*$B$5,1440)</f>
        <v>552.180437328545</v>
      </c>
      <c r="AC93" s="0" t="n">
        <f aca="false">IF(AB93/4&lt;0,AB93/4+180,AB93/4-180)</f>
        <v>-41.9548906678637</v>
      </c>
      <c r="AD93" s="0" t="n">
        <f aca="false">DEGREES(ACOS(SIN(RADIANS($B$3))*SIN(RADIANS(T93))+COS(RADIANS($B$3))*COS(RADIANS(T93))*COS(RADIANS(AC93))))</f>
        <v>90.3582588288559</v>
      </c>
      <c r="AE93" s="0" t="n">
        <f aca="false">90-AD93</f>
        <v>-0.358258828855938</v>
      </c>
      <c r="AF93" s="0" t="n">
        <f aca="false">IF(AE93&gt;85,0,IF(AE93&gt;5,58.1/TAN(RADIANS(AE93))-0.07/POWER(TAN(RADIANS(AE93)),3)+0.000086/POWER(TAN(RADIANS(AE93)),5),IF(AE93&gt;-0.575,1735+AE93*(-518.2+AE93*(103.4+AE93*(-12.79+AE93*0.711))),-20.772/TAN(RADIANS(AE93)))))/3600</f>
        <v>0.537366910617125</v>
      </c>
      <c r="AG93" s="0" t="n">
        <f aca="false">AE93+AF93</f>
        <v>0.179108081761187</v>
      </c>
      <c r="AH93" s="0" t="n">
        <f aca="false">IF(AC93&gt;0,MOD(DEGREES(ACOS(((SIN(RADIANS($B$3))*COS(RADIANS(AD93)))-SIN(RADIANS(T93)))/(COS(RADIANS($B$3))*SIN(RADIANS(AD93)))))+180,360),MOD(540-DEGREES(ACOS(((SIN(RADIANS($B$3))*COS(RADIANS(AD93)))-SIN(RADIANS(T93)))/(COS(RADIANS($B$3))*SIN(RADIANS(AD93))))),360))</f>
        <v>141.059687244911</v>
      </c>
    </row>
    <row r="94" customFormat="false" ht="15" hidden="false" customHeight="false" outlineLevel="0" collapsed="false">
      <c r="D94" s="6" t="n">
        <f aca="false">$B$7</f>
        <v>44886</v>
      </c>
      <c r="E94" s="7" t="n">
        <f aca="false">E93+0.1/24</f>
        <v>0.3875</v>
      </c>
      <c r="F94" s="8" t="n">
        <f aca="false">D94+2415018.5+E94-$B$5/24</f>
        <v>2459904.84583333</v>
      </c>
      <c r="G94" s="9" t="n">
        <f aca="false">(F94-2451545)/36525</f>
        <v>0.228880104950956</v>
      </c>
      <c r="I94" s="0" t="n">
        <f aca="false">MOD(280.46646+G94*(36000.76983+G94*0.0003032),360)</f>
        <v>240.326452889081</v>
      </c>
      <c r="J94" s="0" t="n">
        <f aca="false">357.52911+G94*(35999.05029-0.0001537*G94)</f>
        <v>8596.99551045821</v>
      </c>
      <c r="K94" s="0" t="n">
        <f aca="false">0.016708634-G94*(0.000042037+0.0000001267*G94)</f>
        <v>0.016699005929709</v>
      </c>
      <c r="L94" s="0" t="n">
        <f aca="false">SIN(RADIANS(J94))*(1.914602-G94*(0.004817+0.000014*G94))+SIN(RADIANS(2*J94))*(0.019993-0.000101*G94)+SIN(RADIANS(3*J94))*0.000289</f>
        <v>-1.32525867087459</v>
      </c>
      <c r="M94" s="0" t="n">
        <f aca="false">I94+L94</f>
        <v>239.001194218207</v>
      </c>
      <c r="N94" s="0" t="n">
        <f aca="false">J94+L94</f>
        <v>8595.67025178733</v>
      </c>
      <c r="O94" s="0" t="n">
        <f aca="false">(1.000001018*(1-K94*K94))/(1+K94*COS(RADIANS(N94)))</f>
        <v>0.987921146254447</v>
      </c>
      <c r="P94" s="0" t="n">
        <f aca="false">M94-0.00569-0.00478*SIN(RADIANS(125.04-1934.136*G94))</f>
        <v>238.992283841553</v>
      </c>
      <c r="Q94" s="0" t="n">
        <f aca="false">23+(26+((21.448-G94*(46.815+G94*(0.00059-G94*0.001813))))/60)/60</f>
        <v>23.4363147135325</v>
      </c>
      <c r="R94" s="0" t="n">
        <f aca="false">Q94+0.00256*COS(RADIANS(125.04-1934.136*G94))</f>
        <v>23.4382065219324</v>
      </c>
      <c r="S94" s="0" t="n">
        <f aca="false">DEGREES(ATAN2(COS(RADIANS(P94)),COS(RADIANS(R94))*SIN(RADIANS(P94))))</f>
        <v>-123.22865493583</v>
      </c>
      <c r="T94" s="0" t="n">
        <f aca="false">DEGREES(ASIN(SIN(RADIANS(R94))*SIN(RADIANS(P94))))</f>
        <v>-19.9328799918001</v>
      </c>
      <c r="U94" s="0" t="n">
        <f aca="false">TAN(RADIANS(R94/2))*TAN(RADIANS(R94/2))</f>
        <v>0.0430304334738783</v>
      </c>
      <c r="V94" s="0" t="n">
        <f aca="false">4*DEGREES(U94*SIN(2*RADIANS(I94))-2*K94*SIN(RADIANS(J94))+4*K94*U94*SIN(RADIANS(J94))*COS(2*RADIANS(I94))-0.5*U94*U94*SIN(4*RADIANS(I94))-1.25*K94*K94*SIN(2*RADIANS(J94)))</f>
        <v>14.1993816737675</v>
      </c>
      <c r="W94" s="0" t="n">
        <f aca="false">DEGREES(ACOS(COS(RADIANS(90.833))/(COS(RADIANS($B$3))*COS(RADIANS(T94)))-TAN(RADIANS($B$3))*TAN(RADIANS(T94))))</f>
        <v>43.6754644430871</v>
      </c>
      <c r="X94" s="7" t="n">
        <f aca="false">(720-4*$B$4-V94+$B$5*60)/1440</f>
        <v>0.499875429393217</v>
      </c>
      <c r="Y94" s="7" t="n">
        <f aca="false">X94-W94*4/1440</f>
        <v>0.378554694829086</v>
      </c>
      <c r="Z94" s="7" t="n">
        <f aca="false">X94+W94*4/1440</f>
        <v>0.621196163957348</v>
      </c>
      <c r="AA94" s="10" t="n">
        <f aca="false">8*W94</f>
        <v>349.403715544697</v>
      </c>
      <c r="AB94" s="0" t="n">
        <f aca="false">MOD(E94*1440+V94+4*$B$4-60*$B$5,1440)</f>
        <v>558.179381673767</v>
      </c>
      <c r="AC94" s="0" t="n">
        <f aca="false">IF(AB94/4&lt;0,AB94/4+180,AB94/4-180)</f>
        <v>-40.4551545815582</v>
      </c>
      <c r="AD94" s="0" t="n">
        <f aca="false">DEGREES(ACOS(SIN(RADIANS($B$3))*SIN(RADIANS(T94))+COS(RADIANS($B$3))*COS(RADIANS(T94))*COS(RADIANS(AC94))))</f>
        <v>89.9588015342922</v>
      </c>
      <c r="AE94" s="0" t="n">
        <f aca="false">90-AD94</f>
        <v>0.0411984657078079</v>
      </c>
      <c r="AF94" s="0" t="n">
        <f aca="false">IF(AE94&gt;85,0,IF(AE94&gt;5,58.1/TAN(RADIANS(AE94))-0.07/POWER(TAN(RADIANS(AE94)),3)+0.000086/POWER(TAN(RADIANS(AE94)),5),IF(AE94&gt;-0.575,1735+AE94*(-518.2+AE94*(103.4+AE94*(-12.79+AE94*0.711))),-20.772/TAN(RADIANS(AE94)))))/3600</f>
        <v>0.476062656938793</v>
      </c>
      <c r="AG94" s="0" t="n">
        <f aca="false">AE94+AF94</f>
        <v>0.517261122646601</v>
      </c>
      <c r="AH94" s="0" t="n">
        <f aca="false">IF(AC94&gt;0,MOD(DEGREES(ACOS(((SIN(RADIANS($B$3))*COS(RADIANS(AD94)))-SIN(RADIANS(T94)))/(COS(RADIANS($B$3))*SIN(RADIANS(AD94)))))+180,360),MOD(540-DEGREES(ACOS(((SIN(RADIANS($B$3))*COS(RADIANS(AD94)))-SIN(RADIANS(T94)))/(COS(RADIANS($B$3))*SIN(RADIANS(AD94))))),360))</f>
        <v>142.41181397372</v>
      </c>
    </row>
    <row r="95" customFormat="false" ht="15" hidden="false" customHeight="false" outlineLevel="0" collapsed="false">
      <c r="D95" s="6" t="n">
        <f aca="false">$B$7</f>
        <v>44886</v>
      </c>
      <c r="E95" s="7" t="n">
        <f aca="false">E94+0.1/24</f>
        <v>0.391666666666667</v>
      </c>
      <c r="F95" s="8" t="n">
        <f aca="false">D95+2415018.5+E95-$B$5/24</f>
        <v>2459904.85</v>
      </c>
      <c r="G95" s="9" t="n">
        <f aca="false">(F95-2451545)/36525</f>
        <v>0.228880219028066</v>
      </c>
      <c r="I95" s="0" t="n">
        <f aca="false">MOD(280.46646+G95*(36000.76983+G95*0.0003032),360)</f>
        <v>240.330559752854</v>
      </c>
      <c r="J95" s="0" t="n">
        <f aca="false">357.52911+G95*(35999.05029-0.0001537*G95)</f>
        <v>8596.99961712579</v>
      </c>
      <c r="K95" s="0" t="n">
        <f aca="false">0.016708634-G95*(0.000042037+0.0000001267*G95)</f>
        <v>0.0166990059249069</v>
      </c>
      <c r="L95" s="0" t="n">
        <f aca="false">SIN(RADIANS(J95))*(1.914602-G95*(0.004817+0.000014*G95))+SIN(RADIANS(2*J95))*(0.019993-0.000101*G95)+SIN(RADIANS(3*J95))*0.000289</f>
        <v>-1.32515820913514</v>
      </c>
      <c r="M95" s="0" t="n">
        <f aca="false">I95+L95</f>
        <v>239.005401543719</v>
      </c>
      <c r="N95" s="0" t="n">
        <f aca="false">J95+L95</f>
        <v>8595.67445891666</v>
      </c>
      <c r="O95" s="0" t="n">
        <f aca="false">(1.000001018*(1-K95*K95))/(1+K95*COS(RADIANS(N95)))</f>
        <v>0.987920309794288</v>
      </c>
      <c r="P95" s="0" t="n">
        <f aca="false">M95-0.00569-0.00478*SIN(RADIANS(125.04-1934.136*G95))</f>
        <v>238.996491180669</v>
      </c>
      <c r="Q95" s="0" t="n">
        <f aca="false">23+(26+((21.448-G95*(46.815+G95*(0.00059-G95*0.001813))))/60)/60</f>
        <v>23.436314712049</v>
      </c>
      <c r="R95" s="0" t="n">
        <f aca="false">Q95+0.00256*COS(RADIANS(125.04-1934.136*G95))</f>
        <v>23.4382065270906</v>
      </c>
      <c r="S95" s="0" t="n">
        <f aca="false">DEGREES(ATAN2(COS(RADIANS(P95)),COS(RADIANS(R95))*SIN(RADIANS(P95))))</f>
        <v>-123.224287065095</v>
      </c>
      <c r="T95" s="0" t="n">
        <f aca="false">DEGREES(ASIN(SIN(RADIANS(R95))*SIN(RADIANS(P95))))</f>
        <v>-19.9337969956829</v>
      </c>
      <c r="U95" s="0" t="n">
        <f aca="false">TAN(RADIANS(R95/2))*TAN(RADIANS(R95/2))</f>
        <v>0.0430304334933571</v>
      </c>
      <c r="V95" s="0" t="n">
        <f aca="false">4*DEGREES(U95*SIN(2*RADIANS(I95))-2*K95*SIN(RADIANS(J95))+4*K95*U95*SIN(RADIANS(J95))*COS(2*RADIANS(I95))-0.5*U95*U95*SIN(4*RADIANS(I95))-1.25*K95*K95*SIN(2*RADIANS(J95)))</f>
        <v>14.1983257865958</v>
      </c>
      <c r="W95" s="0" t="n">
        <f aca="false">DEGREES(ACOS(COS(RADIANS(90.833))/(COS(RADIANS($B$3))*COS(RADIANS(T95)))-TAN(RADIANS($B$3))*TAN(RADIANS(T95))))</f>
        <v>43.6723363171468</v>
      </c>
      <c r="X95" s="7" t="n">
        <f aca="false">(720-4*$B$4-V95+$B$5*60)/1440</f>
        <v>0.499876162648197</v>
      </c>
      <c r="Y95" s="7" t="n">
        <f aca="false">X95-W95*4/1440</f>
        <v>0.37856411732279</v>
      </c>
      <c r="Z95" s="7" t="n">
        <f aca="false">X95+W95*4/1440</f>
        <v>0.621188207973605</v>
      </c>
      <c r="AA95" s="10" t="n">
        <f aca="false">8*W95</f>
        <v>349.378690537174</v>
      </c>
      <c r="AB95" s="0" t="n">
        <f aca="false">MOD(E95*1440+V95+4*$B$4-60*$B$5,1440)</f>
        <v>564.178325786596</v>
      </c>
      <c r="AC95" s="0" t="n">
        <f aca="false">IF(AB95/4&lt;0,AB95/4+180,AB95/4-180)</f>
        <v>-38.9554185533511</v>
      </c>
      <c r="AD95" s="0" t="n">
        <f aca="false">DEGREES(ACOS(SIN(RADIANS($B$3))*SIN(RADIANS(T95))+COS(RADIANS($B$3))*COS(RADIANS(T95))*COS(RADIANS(AC95))))</f>
        <v>89.5714506262203</v>
      </c>
      <c r="AE95" s="0" t="n">
        <f aca="false">90-AD95</f>
        <v>0.42854937377966</v>
      </c>
      <c r="AF95" s="0" t="n">
        <f aca="false">IF(AE95&gt;85,0,IF(AE95&gt;5,58.1/TAN(RADIANS(AE95))-0.07/POWER(TAN(RADIANS(AE95)),3)+0.000086/POWER(TAN(RADIANS(AE95)),5),IF(AE95&gt;-0.575,1735+AE95*(-518.2+AE95*(103.4+AE95*(-12.79+AE95*0.711))),-20.772/TAN(RADIANS(AE95)))))/3600</f>
        <v>0.425259150096584</v>
      </c>
      <c r="AG95" s="0" t="n">
        <f aca="false">AE95+AF95</f>
        <v>0.853808523876244</v>
      </c>
      <c r="AH95" s="0" t="n">
        <f aca="false">IF(AC95&gt;0,MOD(DEGREES(ACOS(((SIN(RADIANS($B$3))*COS(RADIANS(AD95)))-SIN(RADIANS(T95)))/(COS(RADIANS($B$3))*SIN(RADIANS(AD95)))))+180,360),MOD(540-DEGREES(ACOS(((SIN(RADIANS($B$3))*COS(RADIANS(AD95)))-SIN(RADIANS(T95)))/(COS(RADIANS($B$3))*SIN(RADIANS(AD95))))),360))</f>
        <v>143.767456015453</v>
      </c>
    </row>
    <row r="96" customFormat="false" ht="15" hidden="false" customHeight="false" outlineLevel="0" collapsed="false">
      <c r="D96" s="6" t="n">
        <f aca="false">$B$7</f>
        <v>44886</v>
      </c>
      <c r="E96" s="7" t="n">
        <f aca="false">E95+0.1/24</f>
        <v>0.395833333333333</v>
      </c>
      <c r="F96" s="8" t="n">
        <f aca="false">D96+2415018.5+E96-$B$5/24</f>
        <v>2459904.85416667</v>
      </c>
      <c r="G96" s="9" t="n">
        <f aca="false">(F96-2451545)/36525</f>
        <v>0.228880333105188</v>
      </c>
      <c r="I96" s="0" t="n">
        <f aca="false">MOD(280.46646+G96*(36000.76983+G96*0.0003032),360)</f>
        <v>240.334666617086</v>
      </c>
      <c r="J96" s="0" t="n">
        <f aca="false">357.52911+G96*(35999.05029-0.0001537*G96)</f>
        <v>8597.00372379384</v>
      </c>
      <c r="K96" s="0" t="n">
        <f aca="false">0.016708634-G96*(0.000042037+0.0000001267*G96)</f>
        <v>0.0166990059201048</v>
      </c>
      <c r="L96" s="0" t="n">
        <f aca="false">SIN(RADIANS(J96))*(1.914602-G96*(0.004817+0.000014*G96))+SIN(RADIANS(2*J96))*(0.019993-0.000101*G96)+SIN(RADIANS(3*J96))*0.000289</f>
        <v>-1.32505774026042</v>
      </c>
      <c r="M96" s="0" t="n">
        <f aca="false">I96+L96</f>
        <v>239.009608876825</v>
      </c>
      <c r="N96" s="0" t="n">
        <f aca="false">J96+L96</f>
        <v>8595.67866605358</v>
      </c>
      <c r="O96" s="0" t="n">
        <f aca="false">(1.000001018*(1-K96*K96))/(1+K96*COS(RADIANS(N96)))</f>
        <v>0.987919473396918</v>
      </c>
      <c r="P96" s="0" t="n">
        <f aca="false">M96-0.00569-0.00478*SIN(RADIANS(125.04-1934.136*G96))</f>
        <v>239.000698527377</v>
      </c>
      <c r="Q96" s="0" t="n">
        <f aca="false">23+(26+((21.448-G96*(46.815+G96*(0.00059-G96*0.001813))))/60)/60</f>
        <v>23.4363147105656</v>
      </c>
      <c r="R96" s="0" t="n">
        <f aca="false">Q96+0.00256*COS(RADIANS(125.04-1934.136*G96))</f>
        <v>23.4382065322489</v>
      </c>
      <c r="S96" s="0" t="n">
        <f aca="false">DEGREES(ATAN2(COS(RADIANS(P96)),COS(RADIANS(R96))*SIN(RADIANS(P96))))</f>
        <v>-123.219919135773</v>
      </c>
      <c r="T96" s="0" t="n">
        <f aca="false">DEGREES(ASIN(SIN(RADIANS(R96))*SIN(RADIANS(P96))))</f>
        <v>-19.9347138944971</v>
      </c>
      <c r="U96" s="0" t="n">
        <f aca="false">TAN(RADIANS(R96/2))*TAN(RADIANS(R96/2))</f>
        <v>0.0430304335128359</v>
      </c>
      <c r="V96" s="0" t="n">
        <f aca="false">4*DEGREES(U96*SIN(2*RADIANS(I96))-2*K96*SIN(RADIANS(J96))+4*K96*U96*SIN(RADIANS(J96))*COS(2*RADIANS(I96))-0.5*U96*U96*SIN(4*RADIANS(I96))-1.25*K96*K96*SIN(2*RADIANS(J96)))</f>
        <v>14.1972696668077</v>
      </c>
      <c r="W96" s="0" t="n">
        <f aca="false">DEGREES(ACOS(COS(RADIANS(90.833))/(COS(RADIANS($B$3))*COS(RADIANS(T96)))-TAN(RADIANS($B$3))*TAN(RADIANS(T96))))</f>
        <v>43.669208335206</v>
      </c>
      <c r="X96" s="7" t="n">
        <f aca="false">(720-4*$B$4-V96+$B$5*60)/1440</f>
        <v>0.499876896064717</v>
      </c>
      <c r="Y96" s="7" t="n">
        <f aca="false">X96-W96*4/1440</f>
        <v>0.378573539578034</v>
      </c>
      <c r="Z96" s="7" t="n">
        <f aca="false">X96+W96*4/1440</f>
        <v>0.6211802525514</v>
      </c>
      <c r="AA96" s="10" t="n">
        <f aca="false">8*W96</f>
        <v>349.353666681648</v>
      </c>
      <c r="AB96" s="0" t="n">
        <f aca="false">MOD(E96*1440+V96+4*$B$4-60*$B$5,1440)</f>
        <v>570.177269666808</v>
      </c>
      <c r="AC96" s="0" t="n">
        <f aca="false">IF(AB96/4&lt;0,AB96/4+180,AB96/4-180)</f>
        <v>-37.4556825832981</v>
      </c>
      <c r="AD96" s="0" t="n">
        <f aca="false">DEGREES(ACOS(SIN(RADIANS($B$3))*SIN(RADIANS(T96))+COS(RADIANS($B$3))*COS(RADIANS(T96))*COS(RADIANS(AC96))))</f>
        <v>89.1964551700773</v>
      </c>
      <c r="AE96" s="0" t="n">
        <f aca="false">90-AD96</f>
        <v>0.803544829922714</v>
      </c>
      <c r="AF96" s="0" t="n">
        <f aca="false">IF(AE96&gt;85,0,IF(AE96&gt;5,58.1/TAN(RADIANS(AE96))-0.07/POWER(TAN(RADIANS(AE96)),3)+0.000086/POWER(TAN(RADIANS(AE96)),5),IF(AE96&gt;-0.575,1735+AE96*(-518.2+AE96*(103.4+AE96*(-12.79+AE96*0.711))),-20.772/TAN(RADIANS(AE96)))))/3600</f>
        <v>0.383063147463302</v>
      </c>
      <c r="AG96" s="0" t="n">
        <f aca="false">AE96+AF96</f>
        <v>1.18660797738602</v>
      </c>
      <c r="AH96" s="0" t="n">
        <f aca="false">IF(AC96&gt;0,MOD(DEGREES(ACOS(((SIN(RADIANS($B$3))*COS(RADIANS(AD96)))-SIN(RADIANS(T96)))/(COS(RADIANS($B$3))*SIN(RADIANS(AD96)))))+180,360),MOD(540-DEGREES(ACOS(((SIN(RADIANS($B$3))*COS(RADIANS(AD96)))-SIN(RADIANS(T96)))/(COS(RADIANS($B$3))*SIN(RADIANS(AD96))))),360))</f>
        <v>145.126626177311</v>
      </c>
    </row>
    <row r="97" customFormat="false" ht="15" hidden="false" customHeight="false" outlineLevel="0" collapsed="false">
      <c r="D97" s="6" t="n">
        <f aca="false">$B$7</f>
        <v>44886</v>
      </c>
      <c r="E97" s="7" t="n">
        <f aca="false">E96+0.1/24</f>
        <v>0.4</v>
      </c>
      <c r="F97" s="8" t="n">
        <f aca="false">D97+2415018.5+E97-$B$5/24</f>
        <v>2459904.85833333</v>
      </c>
      <c r="G97" s="9" t="n">
        <f aca="false">(F97-2451545)/36525</f>
        <v>0.228880447182297</v>
      </c>
      <c r="I97" s="0" t="n">
        <f aca="false">MOD(280.46646+G97*(36000.76983+G97*0.0003032),360)</f>
        <v>240.338773480857</v>
      </c>
      <c r="J97" s="0" t="n">
        <f aca="false">357.52911+G97*(35999.05029-0.0001537*G97)</f>
        <v>8597.00783046143</v>
      </c>
      <c r="K97" s="0" t="n">
        <f aca="false">0.016708634-G97*(0.000042037+0.0000001267*G97)</f>
        <v>0.0166990059153028</v>
      </c>
      <c r="L97" s="0" t="n">
        <f aca="false">SIN(RADIANS(J97))*(1.914602-G97*(0.004817+0.000014*G97))+SIN(RADIANS(2*J97))*(0.019993-0.000101*G97)+SIN(RADIANS(3*J97))*0.000289</f>
        <v>-1.32495726427357</v>
      </c>
      <c r="M97" s="0" t="n">
        <f aca="false">I97+L97</f>
        <v>239.013816216583</v>
      </c>
      <c r="N97" s="0" t="n">
        <f aca="false">J97+L97</f>
        <v>8595.68287319715</v>
      </c>
      <c r="O97" s="0" t="n">
        <f aca="false">(1.000001018*(1-K97*K97))/(1+K97*COS(RADIANS(N97)))</f>
        <v>0.987918637062527</v>
      </c>
      <c r="P97" s="0" t="n">
        <f aca="false">M97-0.00569-0.00478*SIN(RADIANS(125.04-1934.136*G97))</f>
        <v>239.004905880738</v>
      </c>
      <c r="Q97" s="0" t="n">
        <f aca="false">23+(26+((21.448-G97*(46.815+G97*(0.00059-G97*0.001813))))/60)/60</f>
        <v>23.4363147090821</v>
      </c>
      <c r="R97" s="0" t="n">
        <f aca="false">Q97+0.00256*COS(RADIANS(125.04-1934.136*G97))</f>
        <v>23.438206537407</v>
      </c>
      <c r="S97" s="0" t="n">
        <f aca="false">DEGREES(ATAN2(COS(RADIANS(P97)),COS(RADIANS(R97))*SIN(RADIANS(P97))))</f>
        <v>-123.215551148847</v>
      </c>
      <c r="T97" s="0" t="n">
        <f aca="false">DEGREES(ASIN(SIN(RADIANS(R97))*SIN(RADIANS(P97))))</f>
        <v>-19.9356306880305</v>
      </c>
      <c r="U97" s="0" t="n">
        <f aca="false">TAN(RADIANS(R97/2))*TAN(RADIANS(R97/2))</f>
        <v>0.0430304335323146</v>
      </c>
      <c r="V97" s="0" t="n">
        <f aca="false">4*DEGREES(U97*SIN(2*RADIANS(I97))-2*K97*SIN(RADIANS(J97))+4*K97*U97*SIN(RADIANS(J97))*COS(2*RADIANS(I97))-0.5*U97*U97*SIN(4*RADIANS(I97))-1.25*K97*K97*SIN(2*RADIANS(J97)))</f>
        <v>14.1962133146537</v>
      </c>
      <c r="W97" s="0" t="n">
        <f aca="false">DEGREES(ACOS(COS(RADIANS(90.833))/(COS(RADIANS($B$3))*COS(RADIANS(T97)))-TAN(RADIANS($B$3))*TAN(RADIANS(T97))))</f>
        <v>43.6660804980146</v>
      </c>
      <c r="X97" s="7" t="n">
        <f aca="false">(720-4*$B$4-V97+$B$5*60)/1440</f>
        <v>0.499877629642602</v>
      </c>
      <c r="Y97" s="7" t="n">
        <f aca="false">X97-W97*4/1440</f>
        <v>0.378582961592561</v>
      </c>
      <c r="Z97" s="7" t="n">
        <f aca="false">X97+W97*4/1440</f>
        <v>0.621172297692642</v>
      </c>
      <c r="AA97" s="10" t="n">
        <f aca="false">8*W97</f>
        <v>349.328643984117</v>
      </c>
      <c r="AB97" s="0" t="n">
        <f aca="false">MOD(E97*1440+V97+4*$B$4-60*$B$5,1440)</f>
        <v>576.176213314653</v>
      </c>
      <c r="AC97" s="0" t="n">
        <f aca="false">IF(AB97/4&lt;0,AB97/4+180,AB97/4-180)</f>
        <v>-35.9559466713367</v>
      </c>
      <c r="AD97" s="0" t="n">
        <f aca="false">DEGREES(ACOS(SIN(RADIANS($B$3))*SIN(RADIANS(T97))+COS(RADIANS($B$3))*COS(RADIANS(T97))*COS(RADIANS(AC97))))</f>
        <v>88.8340590193399</v>
      </c>
      <c r="AE97" s="0" t="n">
        <f aca="false">90-AD97</f>
        <v>1.16594098066007</v>
      </c>
      <c r="AF97" s="0" t="n">
        <f aca="false">IF(AE97&gt;85,0,IF(AE97&gt;5,58.1/TAN(RADIANS(AE97))-0.07/POWER(TAN(RADIANS(AE97)),3)+0.000086/POWER(TAN(RADIANS(AE97)),5),IF(AE97&gt;-0.575,1735+AE97*(-518.2+AE97*(103.4+AE97*(-12.79+AE97*0.711))),-20.772/TAN(RADIANS(AE97)))))/3600</f>
        <v>0.3478930594516</v>
      </c>
      <c r="AG97" s="0" t="n">
        <f aca="false">AE97+AF97</f>
        <v>1.51383404011167</v>
      </c>
      <c r="AH97" s="0" t="n">
        <f aca="false">IF(AC97&gt;0,MOD(DEGREES(ACOS(((SIN(RADIANS($B$3))*COS(RADIANS(AD97)))-SIN(RADIANS(T97)))/(COS(RADIANS($B$3))*SIN(RADIANS(AD97)))))+180,360),MOD(540-DEGREES(ACOS(((SIN(RADIANS($B$3))*COS(RADIANS(AD97)))-SIN(RADIANS(T97)))/(COS(RADIANS($B$3))*SIN(RADIANS(AD97))))),360))</f>
        <v>146.489324036713</v>
      </c>
    </row>
    <row r="98" customFormat="false" ht="15" hidden="false" customHeight="false" outlineLevel="0" collapsed="false">
      <c r="D98" s="6" t="n">
        <f aca="false">$B$7</f>
        <v>44886</v>
      </c>
      <c r="E98" s="7" t="n">
        <f aca="false">E97+0.1/24</f>
        <v>0.404166666666666</v>
      </c>
      <c r="F98" s="8" t="n">
        <f aca="false">D98+2415018.5+E98-$B$5/24</f>
        <v>2459904.8625</v>
      </c>
      <c r="G98" s="9" t="n">
        <f aca="false">(F98-2451545)/36525</f>
        <v>0.228880561259419</v>
      </c>
      <c r="I98" s="0" t="n">
        <f aca="false">MOD(280.46646+G98*(36000.76983+G98*0.0003032),360)</f>
        <v>240.342880345088</v>
      </c>
      <c r="J98" s="0" t="n">
        <f aca="false">357.52911+G98*(35999.05029-0.0001537*G98)</f>
        <v>8597.01193712948</v>
      </c>
      <c r="K98" s="0" t="n">
        <f aca="false">0.016708634-G98*(0.000042037+0.0000001267*G98)</f>
        <v>0.0166990059105007</v>
      </c>
      <c r="L98" s="0" t="n">
        <f aca="false">SIN(RADIANS(J98))*(1.914602-G98*(0.004817+0.000014*G98))+SIN(RADIANS(2*J98))*(0.019993-0.000101*G98)+SIN(RADIANS(3*J98))*0.000289</f>
        <v>-1.32485678115261</v>
      </c>
      <c r="M98" s="0" t="n">
        <f aca="false">I98+L98</f>
        <v>239.018023563935</v>
      </c>
      <c r="N98" s="0" t="n">
        <f aca="false">J98+L98</f>
        <v>8595.68708034832</v>
      </c>
      <c r="O98" s="0" t="n">
        <f aca="false">(1.000001018*(1-K98*K98))/(1+K98*COS(RADIANS(N98)))</f>
        <v>0.987917800790933</v>
      </c>
      <c r="P98" s="0" t="n">
        <f aca="false">M98-0.00569-0.00478*SIN(RADIANS(125.04-1934.136*G98))</f>
        <v>239.009113241694</v>
      </c>
      <c r="Q98" s="0" t="n">
        <f aca="false">23+(26+((21.448-G98*(46.815+G98*(0.00059-G98*0.001813))))/60)/60</f>
        <v>23.4363147075986</v>
      </c>
      <c r="R98" s="0" t="n">
        <f aca="false">Q98+0.00256*COS(RADIANS(125.04-1934.136*G98))</f>
        <v>23.4382065425652</v>
      </c>
      <c r="S98" s="0" t="n">
        <f aca="false">DEGREES(ATAN2(COS(RADIANS(P98)),COS(RADIANS(R98))*SIN(RADIANS(P98))))</f>
        <v>-123.211183103338</v>
      </c>
      <c r="T98" s="0" t="n">
        <f aca="false">DEGREES(ASIN(SIN(RADIANS(R98))*SIN(RADIANS(P98))))</f>
        <v>-19.9365473764814</v>
      </c>
      <c r="U98" s="0" t="n">
        <f aca="false">TAN(RADIANS(R98/2))*TAN(RADIANS(R98/2))</f>
        <v>0.0430304335517932</v>
      </c>
      <c r="V98" s="0" t="n">
        <f aca="false">4*DEGREES(U98*SIN(2*RADIANS(I98))-2*K98*SIN(RADIANS(J98))+4*K98*U98*SIN(RADIANS(J98))*COS(2*RADIANS(I98))-0.5*U98*U98*SIN(4*RADIANS(I98))-1.25*K98*K98*SIN(2*RADIANS(J98)))</f>
        <v>14.1951567299108</v>
      </c>
      <c r="W98" s="0" t="n">
        <f aca="false">DEGREES(ACOS(COS(RADIANS(90.833))/(COS(RADIANS($B$3))*COS(RADIANS(T98)))-TAN(RADIANS($B$3))*TAN(RADIANS(T98))))</f>
        <v>43.6629528049218</v>
      </c>
      <c r="X98" s="7" t="n">
        <f aca="false">(720-4*$B$4-V98+$B$5*60)/1440</f>
        <v>0.499878363382006</v>
      </c>
      <c r="Y98" s="7" t="n">
        <f aca="false">X98-W98*4/1440</f>
        <v>0.378592383368335</v>
      </c>
      <c r="Z98" s="7" t="n">
        <f aca="false">X98+W98*4/1440</f>
        <v>0.621164343395678</v>
      </c>
      <c r="AA98" s="10" t="n">
        <f aca="false">8*W98</f>
        <v>349.303622439374</v>
      </c>
      <c r="AB98" s="0" t="n">
        <f aca="false">MOD(E98*1440+V98+4*$B$4-60*$B$5,1440)</f>
        <v>582.17515672991</v>
      </c>
      <c r="AC98" s="0" t="n">
        <f aca="false">IF(AB98/4&lt;0,AB98/4+180,AB98/4-180)</f>
        <v>-34.4562108175224</v>
      </c>
      <c r="AD98" s="0" t="n">
        <f aca="false">DEGREES(ACOS(SIN(RADIANS($B$3))*SIN(RADIANS(T98))+COS(RADIANS($B$3))*COS(RADIANS(T98))*COS(RADIANS(AC98))))</f>
        <v>88.4845004708285</v>
      </c>
      <c r="AE98" s="0" t="n">
        <f aca="false">90-AD98</f>
        <v>1.51549952917154</v>
      </c>
      <c r="AF98" s="0" t="n">
        <f aca="false">IF(AE98&gt;85,0,IF(AE98&gt;5,58.1/TAN(RADIANS(AE98))-0.07/POWER(TAN(RADIANS(AE98)),3)+0.000086/POWER(TAN(RADIANS(AE98)),5),IF(AE98&gt;-0.575,1735+AE98*(-518.2+AE98*(103.4+AE98*(-12.79+AE98*0.711))),-20.772/TAN(RADIANS(AE98)))))/3600</f>
        <v>0.318439786765039</v>
      </c>
      <c r="AG98" s="0" t="n">
        <f aca="false">AE98+AF98</f>
        <v>1.83393931593657</v>
      </c>
      <c r="AH98" s="0" t="n">
        <f aca="false">IF(AC98&gt;0,MOD(DEGREES(ACOS(((SIN(RADIANS($B$3))*COS(RADIANS(AD98)))-SIN(RADIANS(T98)))/(COS(RADIANS($B$3))*SIN(RADIANS(AD98)))))+180,360),MOD(540-DEGREES(ACOS(((SIN(RADIANS($B$3))*COS(RADIANS(AD98)))-SIN(RADIANS(T98)))/(COS(RADIANS($B$3))*SIN(RADIANS(AD98))))),360))</f>
        <v>147.855535961165</v>
      </c>
    </row>
    <row r="99" customFormat="false" ht="15" hidden="false" customHeight="false" outlineLevel="0" collapsed="false">
      <c r="D99" s="6" t="n">
        <f aca="false">$B$7</f>
        <v>44886</v>
      </c>
      <c r="E99" s="7" t="n">
        <f aca="false">E98+0.1/24</f>
        <v>0.408333333333333</v>
      </c>
      <c r="F99" s="8" t="n">
        <f aca="false">D99+2415018.5+E99-$B$5/24</f>
        <v>2459904.86666667</v>
      </c>
      <c r="G99" s="9" t="n">
        <f aca="false">(F99-2451545)/36525</f>
        <v>0.228880675336528</v>
      </c>
      <c r="I99" s="0" t="n">
        <f aca="false">MOD(280.46646+G99*(36000.76983+G99*0.0003032),360)</f>
        <v>240.346987208859</v>
      </c>
      <c r="J99" s="0" t="n">
        <f aca="false">357.52911+G99*(35999.05029-0.0001537*G99)</f>
        <v>8597.01604379706</v>
      </c>
      <c r="K99" s="0" t="n">
        <f aca="false">0.016708634-G99*(0.000042037+0.0000001267*G99)</f>
        <v>0.0166990059056986</v>
      </c>
      <c r="L99" s="0" t="n">
        <f aca="false">SIN(RADIANS(J99))*(1.914602-G99*(0.004817+0.000014*G99))+SIN(RADIANS(2*J99))*(0.019993-0.000101*G99)+SIN(RADIANS(3*J99))*0.000289</f>
        <v>-1.32475629092056</v>
      </c>
      <c r="M99" s="0" t="n">
        <f aca="false">I99+L99</f>
        <v>239.022230917938</v>
      </c>
      <c r="N99" s="0" t="n">
        <f aca="false">J99+L99</f>
        <v>8595.69128750614</v>
      </c>
      <c r="O99" s="0" t="n">
        <f aca="false">(1.000001018*(1-K99*K99))/(1+K99*COS(RADIANS(N99)))</f>
        <v>0.987916964582328</v>
      </c>
      <c r="P99" s="0" t="n">
        <f aca="false">M99-0.00569-0.00478*SIN(RADIANS(125.04-1934.136*G99))</f>
        <v>239.0133206093</v>
      </c>
      <c r="Q99" s="0" t="n">
        <f aca="false">23+(26+((21.448-G99*(46.815+G99*(0.00059-G99*0.001813))))/60)/60</f>
        <v>23.4363147061151</v>
      </c>
      <c r="R99" s="0" t="n">
        <f aca="false">Q99+0.00256*COS(RADIANS(125.04-1934.136*G99))</f>
        <v>23.4382065477233</v>
      </c>
      <c r="S99" s="0" t="n">
        <f aca="false">DEGREES(ATAN2(COS(RADIANS(P99)),COS(RADIANS(R99))*SIN(RADIANS(P99))))</f>
        <v>-123.20681500023</v>
      </c>
      <c r="T99" s="0" t="n">
        <f aca="false">DEGREES(ASIN(SIN(RADIANS(R99))*SIN(RADIANS(P99))))</f>
        <v>-19.9374639596369</v>
      </c>
      <c r="U99" s="0" t="n">
        <f aca="false">TAN(RADIANS(R99/2))*TAN(RADIANS(R99/2))</f>
        <v>0.0430304335712717</v>
      </c>
      <c r="V99" s="0" t="n">
        <f aca="false">4*DEGREES(U99*SIN(2*RADIANS(I99))-2*K99*SIN(RADIANS(J99))+4*K99*U99*SIN(RADIANS(J99))*COS(2*RADIANS(I99))-0.5*U99*U99*SIN(4*RADIANS(I99))-1.25*K99*K99*SIN(2*RADIANS(J99)))</f>
        <v>14.1940999128294</v>
      </c>
      <c r="W99" s="0" t="n">
        <f aca="false">DEGREES(ACOS(COS(RADIANS(90.833))/(COS(RADIANS($B$3))*COS(RADIANS(T99)))-TAN(RADIANS($B$3))*TAN(RADIANS(T99))))</f>
        <v>43.6598252566786</v>
      </c>
      <c r="X99" s="7" t="n">
        <f aca="false">(720-4*$B$4-V99+$B$5*60)/1440</f>
        <v>0.499879097282757</v>
      </c>
      <c r="Y99" s="7" t="n">
        <f aca="false">X99-W99*4/1440</f>
        <v>0.378601804903095</v>
      </c>
      <c r="Z99" s="7" t="n">
        <f aca="false">X99+W99*4/1440</f>
        <v>0.62115638966242</v>
      </c>
      <c r="AA99" s="10" t="n">
        <f aca="false">8*W99</f>
        <v>349.278602053429</v>
      </c>
      <c r="AB99" s="0" t="n">
        <f aca="false">MOD(E99*1440+V99+4*$B$4-60*$B$5,1440)</f>
        <v>588.174099912829</v>
      </c>
      <c r="AC99" s="0" t="n">
        <f aca="false">IF(AB99/4&lt;0,AB99/4+180,AB99/4-180)</f>
        <v>-32.9564750217927</v>
      </c>
      <c r="AD99" s="0" t="n">
        <f aca="false">DEGREES(ACOS(SIN(RADIANS($B$3))*SIN(RADIANS(T99))+COS(RADIANS($B$3))*COS(RADIANS(T99))*COS(RADIANS(AC99))))</f>
        <v>88.1480119091374</v>
      </c>
      <c r="AE99" s="0" t="n">
        <f aca="false">90-AD99</f>
        <v>1.85198809086256</v>
      </c>
      <c r="AF99" s="0" t="n">
        <f aca="false">IF(AE99&gt;85,0,IF(AE99&gt;5,58.1/TAN(RADIANS(AE99))-0.07/POWER(TAN(RADIANS(AE99)),3)+0.000086/POWER(TAN(RADIANS(AE99)),5),IF(AE99&gt;-0.575,1735+AE99*(-518.2+AE99*(103.4+AE99*(-12.79+AE99*0.711))),-20.772/TAN(RADIANS(AE99)))))/3600</f>
        <v>0.293630166997094</v>
      </c>
      <c r="AG99" s="0" t="n">
        <f aca="false">AE99+AF99</f>
        <v>2.14561825785966</v>
      </c>
      <c r="AH99" s="0" t="n">
        <f aca="false">IF(AC99&gt;0,MOD(DEGREES(ACOS(((SIN(RADIANS($B$3))*COS(RADIANS(AD99)))-SIN(RADIANS(T99)))/(COS(RADIANS($B$3))*SIN(RADIANS(AD99)))))+180,360),MOD(540-DEGREES(ACOS(((SIN(RADIANS($B$3))*COS(RADIANS(AD99)))-SIN(RADIANS(T99)))/(COS(RADIANS($B$3))*SIN(RADIANS(AD99))))),360))</f>
        <v>149.225235161213</v>
      </c>
    </row>
    <row r="100" customFormat="false" ht="15" hidden="false" customHeight="false" outlineLevel="0" collapsed="false">
      <c r="D100" s="6" t="n">
        <f aca="false">$B$7</f>
        <v>44886</v>
      </c>
      <c r="E100" s="7" t="n">
        <f aca="false">E99+0.1/24</f>
        <v>0.4125</v>
      </c>
      <c r="F100" s="8" t="n">
        <f aca="false">D100+2415018.5+E100-$B$5/24</f>
        <v>2459904.87083333</v>
      </c>
      <c r="G100" s="9" t="n">
        <f aca="false">(F100-2451545)/36525</f>
        <v>0.22888078941365</v>
      </c>
      <c r="I100" s="0" t="n">
        <f aca="false">MOD(280.46646+G100*(36000.76983+G100*0.0003032),360)</f>
        <v>240.35109407309</v>
      </c>
      <c r="J100" s="0" t="n">
        <f aca="false">357.52911+G100*(35999.05029-0.0001537*G100)</f>
        <v>8597.02015046511</v>
      </c>
      <c r="K100" s="0" t="n">
        <f aca="false">0.016708634-G100*(0.000042037+0.0000001267*G100)</f>
        <v>0.0166990059008965</v>
      </c>
      <c r="L100" s="0" t="n">
        <f aca="false">SIN(RADIANS(J100))*(1.914602-G100*(0.004817+0.000014*G100))+SIN(RADIANS(2*J100))*(0.019993-0.000101*G100)+SIN(RADIANS(3*J100))*0.000289</f>
        <v>-1.32465579355539</v>
      </c>
      <c r="M100" s="0" t="n">
        <f aca="false">I100+L100</f>
        <v>239.026438279535</v>
      </c>
      <c r="N100" s="0" t="n">
        <f aca="false">J100+L100</f>
        <v>8595.69549467155</v>
      </c>
      <c r="O100" s="0" t="n">
        <f aca="false">(1.000001018*(1-K100*K100))/(1+K100*COS(RADIANS(N100)))</f>
        <v>0.98791612843653</v>
      </c>
      <c r="P100" s="0" t="n">
        <f aca="false">M100-0.00569-0.00478*SIN(RADIANS(125.04-1934.136*G100))</f>
        <v>239.017527984499</v>
      </c>
      <c r="Q100" s="0" t="n">
        <f aca="false">23+(26+((21.448-G100*(46.815+G100*(0.00059-G100*0.001813))))/60)/60</f>
        <v>23.4363147046316</v>
      </c>
      <c r="R100" s="0" t="n">
        <f aca="false">Q100+0.00256*COS(RADIANS(125.04-1934.136*G100))</f>
        <v>23.4382065528814</v>
      </c>
      <c r="S100" s="0" t="n">
        <f aca="false">DEGREES(ATAN2(COS(RADIANS(P100)),COS(RADIANS(R100))*SIN(RADIANS(P100))))</f>
        <v>-123.202446838547</v>
      </c>
      <c r="T100" s="0" t="n">
        <f aca="false">DEGREES(ASIN(SIN(RADIANS(R100))*SIN(RADIANS(P100))))</f>
        <v>-19.9383804376954</v>
      </c>
      <c r="U100" s="0" t="n">
        <f aca="false">TAN(RADIANS(R100/2))*TAN(RADIANS(R100/2))</f>
        <v>0.04303043359075</v>
      </c>
      <c r="V100" s="0" t="n">
        <f aca="false">4*DEGREES(U100*SIN(2*RADIANS(I100))-2*K100*SIN(RADIANS(J100))+4*K100*U100*SIN(RADIANS(J100))*COS(2*RADIANS(I100))-0.5*U100*U100*SIN(4*RADIANS(I100))-1.25*K100*K100*SIN(2*RADIANS(J100)))</f>
        <v>14.1930428631863</v>
      </c>
      <c r="W100" s="0" t="n">
        <f aca="false">DEGREES(ACOS(COS(RADIANS(90.833))/(COS(RADIANS($B$3))*COS(RADIANS(T100)))-TAN(RADIANS($B$3))*TAN(RADIANS(T100))))</f>
        <v>43.6566978526343</v>
      </c>
      <c r="X100" s="7" t="n">
        <f aca="false">(720-4*$B$4-V100+$B$5*60)/1440</f>
        <v>0.49987983134501</v>
      </c>
      <c r="Y100" s="7" t="n">
        <f aca="false">X100-W100*4/1440</f>
        <v>0.378611226198803</v>
      </c>
      <c r="Z100" s="7" t="n">
        <f aca="false">X100+W100*4/1440</f>
        <v>0.621148436491216</v>
      </c>
      <c r="AA100" s="10" t="n">
        <f aca="false">8*W100</f>
        <v>349.253582821074</v>
      </c>
      <c r="AB100" s="0" t="n">
        <f aca="false">MOD(E100*1440+V100+4*$B$4-60*$B$5,1440)</f>
        <v>594.173042863186</v>
      </c>
      <c r="AC100" s="0" t="n">
        <f aca="false">IF(AB100/4&lt;0,AB100/4+180,AB100/4-180)</f>
        <v>-31.4567392842035</v>
      </c>
      <c r="AD100" s="0" t="n">
        <f aca="false">DEGREES(ACOS(SIN(RADIANS($B$3))*SIN(RADIANS(T100))+COS(RADIANS($B$3))*COS(RADIANS(T100))*COS(RADIANS(AC100))))</f>
        <v>87.8248194451534</v>
      </c>
      <c r="AE100" s="0" t="n">
        <f aca="false">90-AD100</f>
        <v>2.17518055484659</v>
      </c>
      <c r="AF100" s="0" t="n">
        <f aca="false">IF(AE100&gt;85,0,IF(AE100&gt;5,58.1/TAN(RADIANS(AE100))-0.07/POWER(TAN(RADIANS(AE100)),3)+0.000086/POWER(TAN(RADIANS(AE100)),5),IF(AE100&gt;-0.575,1735+AE100*(-518.2+AE100*(103.4+AE100*(-12.79+AE100*0.711))),-20.772/TAN(RADIANS(AE100)))))/3600</f>
        <v>0.272593169944396</v>
      </c>
      <c r="AG100" s="0" t="n">
        <f aca="false">AE100+AF100</f>
        <v>2.44777372479099</v>
      </c>
      <c r="AH100" s="0" t="n">
        <f aca="false">IF(AC100&gt;0,MOD(DEGREES(ACOS(((SIN(RADIANS($B$3))*COS(RADIANS(AD100)))-SIN(RADIANS(T100)))/(COS(RADIANS($B$3))*SIN(RADIANS(AD100)))))+180,360),MOD(540-DEGREES(ACOS(((SIN(RADIANS($B$3))*COS(RADIANS(AD100)))-SIN(RADIANS(T100)))/(COS(RADIANS($B$3))*SIN(RADIANS(AD100))))),360))</f>
        <v>150.598381778837</v>
      </c>
    </row>
    <row r="101" customFormat="false" ht="15" hidden="false" customHeight="false" outlineLevel="0" collapsed="false">
      <c r="D101" s="6" t="n">
        <f aca="false">$B$7</f>
        <v>44886</v>
      </c>
      <c r="E101" s="7" t="n">
        <f aca="false">E100+0.1/24</f>
        <v>0.416666666666666</v>
      </c>
      <c r="F101" s="8" t="n">
        <f aca="false">D101+2415018.5+E101-$B$5/24</f>
        <v>2459904.875</v>
      </c>
      <c r="G101" s="9" t="n">
        <f aca="false">(F101-2451545)/36525</f>
        <v>0.22888090349076</v>
      </c>
      <c r="I101" s="0" t="n">
        <f aca="false">MOD(280.46646+G101*(36000.76983+G101*0.0003032),360)</f>
        <v>240.355200936861</v>
      </c>
      <c r="J101" s="0" t="n">
        <f aca="false">357.52911+G101*(35999.05029-0.0001537*G101)</f>
        <v>8597.0242571327</v>
      </c>
      <c r="K101" s="0" t="n">
        <f aca="false">0.016708634-G101*(0.000042037+0.0000001267*G101)</f>
        <v>0.0166990058960945</v>
      </c>
      <c r="L101" s="0" t="n">
        <f aca="false">SIN(RADIANS(J101))*(1.914602-G101*(0.004817+0.000014*G101))+SIN(RADIANS(2*J101))*(0.019993-0.000101*G101)+SIN(RADIANS(3*J101))*0.000289</f>
        <v>-1.32455528908017</v>
      </c>
      <c r="M101" s="0" t="n">
        <f aca="false">I101+L101</f>
        <v>239.030645647781</v>
      </c>
      <c r="N101" s="0" t="n">
        <f aca="false">J101+L101</f>
        <v>8595.69970184362</v>
      </c>
      <c r="O101" s="0" t="n">
        <f aca="false">(1.000001018*(1-K101*K101))/(1+K101*COS(RADIANS(N101)))</f>
        <v>0.98791529235373</v>
      </c>
      <c r="P101" s="0" t="n">
        <f aca="false">M101-0.00569-0.00478*SIN(RADIANS(125.04-1934.136*G101))</f>
        <v>239.021735366349</v>
      </c>
      <c r="Q101" s="0" t="n">
        <f aca="false">23+(26+((21.448-G101*(46.815+G101*(0.00059-G101*0.001813))))/60)/60</f>
        <v>23.4363147031482</v>
      </c>
      <c r="R101" s="0" t="n">
        <f aca="false">Q101+0.00256*COS(RADIANS(125.04-1934.136*G101))</f>
        <v>23.4382065580395</v>
      </c>
      <c r="S101" s="0" t="n">
        <f aca="false">DEGREES(ATAN2(COS(RADIANS(P101)),COS(RADIANS(R101))*SIN(RADIANS(P101))))</f>
        <v>-123.198078619271</v>
      </c>
      <c r="T101" s="0" t="n">
        <f aca="false">DEGREES(ASIN(SIN(RADIANS(R101))*SIN(RADIANS(P101))))</f>
        <v>-19.9392968104443</v>
      </c>
      <c r="U101" s="0" t="n">
        <f aca="false">TAN(RADIANS(R101/2))*TAN(RADIANS(R101/2))</f>
        <v>0.0430304336102282</v>
      </c>
      <c r="V101" s="0" t="n">
        <f aca="false">4*DEGREES(U101*SIN(2*RADIANS(I101))-2*K101*SIN(RADIANS(J101))+4*K101*U101*SIN(RADIANS(J101))*COS(2*RADIANS(I101))-0.5*U101*U101*SIN(4*RADIANS(I101))-1.25*K101*K101*SIN(2*RADIANS(J101)))</f>
        <v>14.1919855812321</v>
      </c>
      <c r="W101" s="0" t="n">
        <f aca="false">DEGREES(ACOS(COS(RADIANS(90.833))/(COS(RADIANS($B$3))*COS(RADIANS(T101)))-TAN(RADIANS($B$3))*TAN(RADIANS(T101))))</f>
        <v>43.6535705935398</v>
      </c>
      <c r="X101" s="7" t="n">
        <f aca="false">(720-4*$B$4-V101+$B$5*60)/1440</f>
        <v>0.499880565568589</v>
      </c>
      <c r="Y101" s="7" t="n">
        <f aca="false">X101-W101*4/1440</f>
        <v>0.3786206472532</v>
      </c>
      <c r="Z101" s="7" t="n">
        <f aca="false">X101+W101*4/1440</f>
        <v>0.621140483883977</v>
      </c>
      <c r="AA101" s="10" t="n">
        <f aca="false">8*W101</f>
        <v>349.228564748319</v>
      </c>
      <c r="AB101" s="0" t="n">
        <f aca="false">MOD(E101*1440+V101+4*$B$4-60*$B$5,1440)</f>
        <v>600.171985581232</v>
      </c>
      <c r="AC101" s="0" t="n">
        <f aca="false">IF(AB101/4&lt;0,AB101/4+180,AB101/4-180)</f>
        <v>-29.9570036046921</v>
      </c>
      <c r="AD101" s="0" t="n">
        <f aca="false">DEGREES(ACOS(SIN(RADIANS($B$3))*SIN(RADIANS(T101))+COS(RADIANS($B$3))*COS(RADIANS(T101))*COS(RADIANS(AC101))))</f>
        <v>87.5151425469222</v>
      </c>
      <c r="AE101" s="0" t="n">
        <f aca="false">90-AD101</f>
        <v>2.48485745307777</v>
      </c>
      <c r="AF101" s="0" t="n">
        <f aca="false">IF(AE101&gt;85,0,IF(AE101&gt;5,58.1/TAN(RADIANS(AE101))-0.07/POWER(TAN(RADIANS(AE101)),3)+0.000086/POWER(TAN(RADIANS(AE101)),5),IF(AE101&gt;-0.575,1735+AE101*(-518.2+AE101*(103.4+AE101*(-12.79+AE101*0.711))),-20.772/TAN(RADIANS(AE101)))))/3600</f>
        <v>0.254628939177051</v>
      </c>
      <c r="AG101" s="0" t="n">
        <f aca="false">AE101+AF101</f>
        <v>2.73948639225482</v>
      </c>
      <c r="AH101" s="0" t="n">
        <f aca="false">IF(AC101&gt;0,MOD(DEGREES(ACOS(((SIN(RADIANS($B$3))*COS(RADIANS(AD101)))-SIN(RADIANS(T101)))/(COS(RADIANS($B$3))*SIN(RADIANS(AD101)))))+180,360),MOD(540-DEGREES(ACOS(((SIN(RADIANS($B$3))*COS(RADIANS(AD101)))-SIN(RADIANS(T101)))/(COS(RADIANS($B$3))*SIN(RADIANS(AD101))))),360))</f>
        <v>151.974923013483</v>
      </c>
    </row>
    <row r="102" customFormat="false" ht="15" hidden="false" customHeight="false" outlineLevel="0" collapsed="false">
      <c r="D102" s="6" t="n">
        <f aca="false">$B$7</f>
        <v>44886</v>
      </c>
      <c r="E102" s="7" t="n">
        <f aca="false">E101+0.1/24</f>
        <v>0.420833333333333</v>
      </c>
      <c r="F102" s="8" t="n">
        <f aca="false">D102+2415018.5+E102-$B$5/24</f>
        <v>2459904.87916667</v>
      </c>
      <c r="G102" s="9" t="n">
        <f aca="false">(F102-2451545)/36525</f>
        <v>0.228881017567882</v>
      </c>
      <c r="I102" s="0" t="n">
        <f aca="false">MOD(280.46646+G102*(36000.76983+G102*0.0003032),360)</f>
        <v>240.359307801093</v>
      </c>
      <c r="J102" s="0" t="n">
        <f aca="false">357.52911+G102*(35999.05029-0.0001537*G102)</f>
        <v>8597.02836380074</v>
      </c>
      <c r="K102" s="0" t="n">
        <f aca="false">0.016708634-G102*(0.000042037+0.0000001267*G102)</f>
        <v>0.0166990058912924</v>
      </c>
      <c r="L102" s="0" t="n">
        <f aca="false">SIN(RADIANS(J102))*(1.914602-G102*(0.004817+0.000014*G102))+SIN(RADIANS(2*J102))*(0.019993-0.000101*G102)+SIN(RADIANS(3*J102))*0.000289</f>
        <v>-1.32445477747287</v>
      </c>
      <c r="M102" s="0" t="n">
        <f aca="false">I102+L102</f>
        <v>239.03485302362</v>
      </c>
      <c r="N102" s="0" t="n">
        <f aca="false">J102+L102</f>
        <v>8595.70390902327</v>
      </c>
      <c r="O102" s="0" t="n">
        <f aca="false">(1.000001018*(1-K102*K102))/(1+K102*COS(RADIANS(N102)))</f>
        <v>0.987914456333746</v>
      </c>
      <c r="P102" s="0" t="n">
        <f aca="false">M102-0.00569-0.00478*SIN(RADIANS(125.04-1934.136*G102))</f>
        <v>239.02594275579</v>
      </c>
      <c r="Q102" s="0" t="n">
        <f aca="false">23+(26+((21.448-G102*(46.815+G102*(0.00059-G102*0.001813))))/60)/60</f>
        <v>23.4363147016647</v>
      </c>
      <c r="R102" s="0" t="n">
        <f aca="false">Q102+0.00256*COS(RADIANS(125.04-1934.136*G102))</f>
        <v>23.4382065631976</v>
      </c>
      <c r="S102" s="0" t="n">
        <f aca="false">DEGREES(ATAN2(COS(RADIANS(P102)),COS(RADIANS(R102))*SIN(RADIANS(P102))))</f>
        <v>-123.193710341425</v>
      </c>
      <c r="T102" s="0" t="n">
        <f aca="false">DEGREES(ASIN(SIN(RADIANS(R102))*SIN(RADIANS(P102))))</f>
        <v>-19.9402130780816</v>
      </c>
      <c r="U102" s="0" t="n">
        <f aca="false">TAN(RADIANS(R102/2))*TAN(RADIANS(R102/2))</f>
        <v>0.0430304336297064</v>
      </c>
      <c r="V102" s="0" t="n">
        <f aca="false">4*DEGREES(U102*SIN(2*RADIANS(I102))-2*K102*SIN(RADIANS(J102))+4*K102*U102*SIN(RADIANS(J102))*COS(2*RADIANS(I102))-0.5*U102*U102*SIN(4*RADIANS(I102))-1.25*K102*K102*SIN(2*RADIANS(J102)))</f>
        <v>14.1909280667436</v>
      </c>
      <c r="W102" s="0" t="n">
        <f aca="false">DEGREES(ACOS(COS(RADIANS(90.833))/(COS(RADIANS($B$3))*COS(RADIANS(T102)))-TAN(RADIANS($B$3))*TAN(RADIANS(T102))))</f>
        <v>43.6504434787445</v>
      </c>
      <c r="X102" s="7" t="n">
        <f aca="false">(720-4*$B$4-V102+$B$5*60)/1440</f>
        <v>0.49988129995365</v>
      </c>
      <c r="Y102" s="7" t="n">
        <f aca="false">X102-W102*4/1440</f>
        <v>0.378630068068249</v>
      </c>
      <c r="Z102" s="7" t="n">
        <f aca="false">X102+W102*4/1440</f>
        <v>0.621132531839052</v>
      </c>
      <c r="AA102" s="10" t="n">
        <f aca="false">8*W102</f>
        <v>349.203547829956</v>
      </c>
      <c r="AB102" s="0" t="n">
        <f aca="false">MOD(E102*1440+V102+4*$B$4-60*$B$5,1440)</f>
        <v>606.170928066743</v>
      </c>
      <c r="AC102" s="0" t="n">
        <f aca="false">IF(AB102/4&lt;0,AB102/4+180,AB102/4-180)</f>
        <v>-28.4572679833142</v>
      </c>
      <c r="AD102" s="0" t="n">
        <f aca="false">DEGREES(ACOS(SIN(RADIANS($B$3))*SIN(RADIANS(T102))+COS(RADIANS($B$3))*COS(RADIANS(T102))*COS(RADIANS(AC102))))</f>
        <v>87.2191936680433</v>
      </c>
      <c r="AE102" s="0" t="n">
        <f aca="false">90-AD102</f>
        <v>2.78080633195673</v>
      </c>
      <c r="AF102" s="0" t="n">
        <f aca="false">IF(AE102&gt;85,0,IF(AE102&gt;5,58.1/TAN(RADIANS(AE102))-0.07/POWER(TAN(RADIANS(AE102)),3)+0.000086/POWER(TAN(RADIANS(AE102)),5),IF(AE102&gt;-0.575,1735+AE102*(-518.2+AE102*(103.4+AE102*(-12.79+AE102*0.711))),-20.772/TAN(RADIANS(AE102)))))/3600</f>
        <v>0.239180736869004</v>
      </c>
      <c r="AG102" s="0" t="n">
        <f aca="false">AE102+AF102</f>
        <v>3.01998706882573</v>
      </c>
      <c r="AH102" s="0" t="n">
        <f aca="false">IF(AC102&gt;0,MOD(DEGREES(ACOS(((SIN(RADIANS($B$3))*COS(RADIANS(AD102)))-SIN(RADIANS(T102)))/(COS(RADIANS($B$3))*SIN(RADIANS(AD102)))))+180,360),MOD(540-DEGREES(ACOS(((SIN(RADIANS($B$3))*COS(RADIANS(AD102)))-SIN(RADIANS(T102)))/(COS(RADIANS($B$3))*SIN(RADIANS(AD102))))),360))</f>
        <v>153.354793287676</v>
      </c>
    </row>
    <row r="103" customFormat="false" ht="15" hidden="false" customHeight="false" outlineLevel="0" collapsed="false">
      <c r="D103" s="6" t="n">
        <f aca="false">$B$7</f>
        <v>44886</v>
      </c>
      <c r="E103" s="7" t="n">
        <f aca="false">E102+0.1/24</f>
        <v>0.425</v>
      </c>
      <c r="F103" s="8" t="n">
        <f aca="false">D103+2415018.5+E103-$B$5/24</f>
        <v>2459904.88333333</v>
      </c>
      <c r="G103" s="9" t="n">
        <f aca="false">(F103-2451545)/36525</f>
        <v>0.228881131644991</v>
      </c>
      <c r="I103" s="0" t="n">
        <f aca="false">MOD(280.46646+G103*(36000.76983+G103*0.0003032),360)</f>
        <v>240.363414664864</v>
      </c>
      <c r="J103" s="0" t="n">
        <f aca="false">357.52911+G103*(35999.05029-0.0001537*G103)</f>
        <v>8597.03247046833</v>
      </c>
      <c r="K103" s="0" t="n">
        <f aca="false">0.016708634-G103*(0.000042037+0.0000001267*G103)</f>
        <v>0.0166990058864903</v>
      </c>
      <c r="L103" s="0" t="n">
        <f aca="false">SIN(RADIANS(J103))*(1.914602-G103*(0.004817+0.000014*G103))+SIN(RADIANS(2*J103))*(0.019993-0.000101*G103)+SIN(RADIANS(3*J103))*0.000289</f>
        <v>-1.32435425875651</v>
      </c>
      <c r="M103" s="0" t="n">
        <f aca="false">I103+L103</f>
        <v>239.039060406107</v>
      </c>
      <c r="N103" s="0" t="n">
        <f aca="false">J103+L103</f>
        <v>8595.70811620957</v>
      </c>
      <c r="O103" s="0" t="n">
        <f aca="false">(1.000001018*(1-K103*K103))/(1+K103*COS(RADIANS(N103)))</f>
        <v>0.987913620376769</v>
      </c>
      <c r="P103" s="0" t="n">
        <f aca="false">M103-0.00569-0.00478*SIN(RADIANS(125.04-1934.136*G103))</f>
        <v>239.030150151881</v>
      </c>
      <c r="Q103" s="0" t="n">
        <f aca="false">23+(26+((21.448-G103*(46.815+G103*(0.00059-G103*0.001813))))/60)/60</f>
        <v>23.4363147001812</v>
      </c>
      <c r="R103" s="0" t="n">
        <f aca="false">Q103+0.00256*COS(RADIANS(125.04-1934.136*G103))</f>
        <v>23.4382065683556</v>
      </c>
      <c r="S103" s="0" t="n">
        <f aca="false">DEGREES(ATAN2(COS(RADIANS(P103)),COS(RADIANS(R103))*SIN(RADIANS(P103))))</f>
        <v>-123.189342005992</v>
      </c>
      <c r="T103" s="0" t="n">
        <f aca="false">DEGREES(ASIN(SIN(RADIANS(R103))*SIN(RADIANS(P103))))</f>
        <v>-19.9411292403948</v>
      </c>
      <c r="U103" s="0" t="n">
        <f aca="false">TAN(RADIANS(R103/2))*TAN(RADIANS(R103/2))</f>
        <v>0.0430304336491844</v>
      </c>
      <c r="V103" s="0" t="n">
        <f aca="false">4*DEGREES(U103*SIN(2*RADIANS(I103))-2*K103*SIN(RADIANS(J103))+4*K103*U103*SIN(RADIANS(J103))*COS(2*RADIANS(I103))-0.5*U103*U103*SIN(4*RADIANS(I103))-1.25*K103*K103*SIN(2*RADIANS(J103)))</f>
        <v>14.1898703199713</v>
      </c>
      <c r="W103" s="0" t="n">
        <f aca="false">DEGREES(ACOS(COS(RADIANS(90.833))/(COS(RADIANS($B$3))*COS(RADIANS(T103)))-TAN(RADIANS($B$3))*TAN(RADIANS(T103))))</f>
        <v>43.6473165089993</v>
      </c>
      <c r="X103" s="7" t="n">
        <f aca="false">(720-4*$B$4-V103+$B$5*60)/1440</f>
        <v>0.49988203450002</v>
      </c>
      <c r="Y103" s="7" t="n">
        <f aca="false">X103-W103*4/1440</f>
        <v>0.378639488641688</v>
      </c>
      <c r="Z103" s="7" t="n">
        <f aca="false">X103+W103*4/1440</f>
        <v>0.621124580358351</v>
      </c>
      <c r="AA103" s="10" t="n">
        <f aca="false">8*W103</f>
        <v>349.178532071995</v>
      </c>
      <c r="AB103" s="0" t="n">
        <f aca="false">MOD(E103*1440+V103+4*$B$4-60*$B$5,1440)</f>
        <v>612.169870319971</v>
      </c>
      <c r="AC103" s="0" t="n">
        <f aca="false">IF(AB103/4&lt;0,AB103/4+180,AB103/4-180)</f>
        <v>-26.9575324200073</v>
      </c>
      <c r="AD103" s="0" t="n">
        <f aca="false">DEGREES(ACOS(SIN(RADIANS($B$3))*SIN(RADIANS(T103))+COS(RADIANS($B$3))*COS(RADIANS(T103))*COS(RADIANS(AC103))))</f>
        <v>86.9371778720573</v>
      </c>
      <c r="AE103" s="0" t="n">
        <f aca="false">90-AD103</f>
        <v>3.06282212794271</v>
      </c>
      <c r="AF103" s="0" t="n">
        <f aca="false">IF(AE103&gt;85,0,IF(AE103&gt;5,58.1/TAN(RADIANS(AE103))-0.07/POWER(TAN(RADIANS(AE103)),3)+0.000086/POWER(TAN(RADIANS(AE103)),5),IF(AE103&gt;-0.575,1735+AE103*(-518.2+AE103*(103.4+AE103*(-12.79+AE103*0.711))),-20.772/TAN(RADIANS(AE103)))))/3600</f>
        <v>0.225809807933989</v>
      </c>
      <c r="AG103" s="0" t="n">
        <f aca="false">AE103+AF103</f>
        <v>3.2886319358767</v>
      </c>
      <c r="AH103" s="0" t="n">
        <f aca="false">IF(AC103&gt;0,MOD(DEGREES(ACOS(((SIN(RADIANS($B$3))*COS(RADIANS(AD103)))-SIN(RADIANS(T103)))/(COS(RADIANS($B$3))*SIN(RADIANS(AD103)))))+180,360),MOD(540-DEGREES(ACOS(((SIN(RADIANS($B$3))*COS(RADIANS(AD103)))-SIN(RADIANS(T103)))/(COS(RADIANS($B$3))*SIN(RADIANS(AD103))))),360))</f>
        <v>154.737914454105</v>
      </c>
    </row>
    <row r="104" customFormat="false" ht="15" hidden="false" customHeight="false" outlineLevel="0" collapsed="false">
      <c r="D104" s="6" t="n">
        <f aca="false">$B$7</f>
        <v>44886</v>
      </c>
      <c r="E104" s="7" t="n">
        <f aca="false">E103+0.1/24</f>
        <v>0.429166666666666</v>
      </c>
      <c r="F104" s="8" t="n">
        <f aca="false">D104+2415018.5+E104-$B$5/24</f>
        <v>2459904.8875</v>
      </c>
      <c r="G104" s="9" t="n">
        <f aca="false">(F104-2451545)/36525</f>
        <v>0.228881245722113</v>
      </c>
      <c r="I104" s="0" t="n">
        <f aca="false">MOD(280.46646+G104*(36000.76983+G104*0.0003032),360)</f>
        <v>240.367521529095</v>
      </c>
      <c r="J104" s="0" t="n">
        <f aca="false">357.52911+G104*(35999.05029-0.0001537*G104)</f>
        <v>8597.03657713638</v>
      </c>
      <c r="K104" s="0" t="n">
        <f aca="false">0.016708634-G104*(0.000042037+0.0000001267*G104)</f>
        <v>0.0166990058816882</v>
      </c>
      <c r="L104" s="0" t="n">
        <f aca="false">SIN(RADIANS(J104))*(1.914602-G104*(0.004817+0.000014*G104))+SIN(RADIANS(2*J104))*(0.019993-0.000101*G104)+SIN(RADIANS(3*J104))*0.000289</f>
        <v>-1.32425373290914</v>
      </c>
      <c r="M104" s="0" t="n">
        <f aca="false">I104+L104</f>
        <v>239.043267796186</v>
      </c>
      <c r="N104" s="0" t="n">
        <f aca="false">J104+L104</f>
        <v>8595.71232340347</v>
      </c>
      <c r="O104" s="0" t="n">
        <f aca="false">(1.000001018*(1-K104*K104))/(1+K104*COS(RADIANS(N104)))</f>
        <v>0.987912784482618</v>
      </c>
      <c r="P104" s="0" t="n">
        <f aca="false">M104-0.00569-0.00478*SIN(RADIANS(125.04-1934.136*G104))</f>
        <v>239.034357555563</v>
      </c>
      <c r="Q104" s="0" t="n">
        <f aca="false">23+(26+((21.448-G104*(46.815+G104*(0.00059-G104*0.001813))))/60)/60</f>
        <v>23.4363146986977</v>
      </c>
      <c r="R104" s="0" t="n">
        <f aca="false">Q104+0.00256*COS(RADIANS(125.04-1934.136*G104))</f>
        <v>23.4382065735136</v>
      </c>
      <c r="S104" s="0" t="n">
        <f aca="false">DEGREES(ATAN2(COS(RADIANS(P104)),COS(RADIANS(R104))*SIN(RADIANS(P104))))</f>
        <v>-123.184973611996</v>
      </c>
      <c r="T104" s="0" t="n">
        <f aca="false">DEGREES(ASIN(SIN(RADIANS(R104))*SIN(RADIANS(P104))))</f>
        <v>-19.9420452975821</v>
      </c>
      <c r="U104" s="0" t="n">
        <f aca="false">TAN(RADIANS(R104/2))*TAN(RADIANS(R104/2))</f>
        <v>0.0430304336686624</v>
      </c>
      <c r="V104" s="0" t="n">
        <f aca="false">4*DEGREES(U104*SIN(2*RADIANS(I104))-2*K104*SIN(RADIANS(J104))+4*K104*U104*SIN(RADIANS(J104))*COS(2*RADIANS(I104))-0.5*U104*U104*SIN(4*RADIANS(I104))-1.25*K104*K104*SIN(2*RADIANS(J104)))</f>
        <v>14.1888123406922</v>
      </c>
      <c r="W104" s="0" t="n">
        <f aca="false">DEGREES(ACOS(COS(RADIANS(90.833))/(COS(RADIANS($B$3))*COS(RADIANS(T104)))-TAN(RADIANS($B$3))*TAN(RADIANS(T104))))</f>
        <v>43.6441896836538</v>
      </c>
      <c r="X104" s="7" t="n">
        <f aca="false">(720-4*$B$4-V104+$B$5*60)/1440</f>
        <v>0.499882769207853</v>
      </c>
      <c r="Y104" s="7" t="n">
        <f aca="false">X104-W104*4/1440</f>
        <v>0.378648908975481</v>
      </c>
      <c r="Z104" s="7" t="n">
        <f aca="false">X104+W104*4/1440</f>
        <v>0.621116629440224</v>
      </c>
      <c r="AA104" s="10" t="n">
        <f aca="false">8*W104</f>
        <v>349.153517469231</v>
      </c>
      <c r="AB104" s="0" t="n">
        <f aca="false">MOD(E104*1440+V104+4*$B$4-60*$B$5,1440)</f>
        <v>618.168812340692</v>
      </c>
      <c r="AC104" s="0" t="n">
        <f aca="false">IF(AB104/4&lt;0,AB104/4+180,AB104/4-180)</f>
        <v>-25.4577969148271</v>
      </c>
      <c r="AD104" s="0" t="n">
        <f aca="false">DEGREES(ACOS(SIN(RADIANS($B$3))*SIN(RADIANS(T104))+COS(RADIANS($B$3))*COS(RADIANS(T104))*COS(RADIANS(AC104))))</f>
        <v>86.6692924581867</v>
      </c>
      <c r="AE104" s="0" t="n">
        <f aca="false">90-AD104</f>
        <v>3.33070754181331</v>
      </c>
      <c r="AF104" s="0" t="n">
        <f aca="false">IF(AE104&gt;85,0,IF(AE104&gt;5,58.1/TAN(RADIANS(AE104))-0.07/POWER(TAN(RADIANS(AE104)),3)+0.000086/POWER(TAN(RADIANS(AE104)),5),IF(AE104&gt;-0.575,1735+AE104*(-518.2+AE104*(103.4+AE104*(-12.79+AE104*0.711))),-20.772/TAN(RADIANS(AE104)))))/3600</f>
        <v>0.214173140611818</v>
      </c>
      <c r="AG104" s="0" t="n">
        <f aca="false">AE104+AF104</f>
        <v>3.54488068242513</v>
      </c>
      <c r="AH104" s="0" t="n">
        <f aca="false">IF(AC104&gt;0,MOD(DEGREES(ACOS(((SIN(RADIANS($B$3))*COS(RADIANS(AD104)))-SIN(RADIANS(T104)))/(COS(RADIANS($B$3))*SIN(RADIANS(AD104)))))+180,360),MOD(540-DEGREES(ACOS(((SIN(RADIANS($B$3))*COS(RADIANS(AD104)))-SIN(RADIANS(T104)))/(COS(RADIANS($B$3))*SIN(RADIANS(AD104))))),360))</f>
        <v>156.124196045557</v>
      </c>
    </row>
    <row r="105" customFormat="false" ht="15" hidden="false" customHeight="false" outlineLevel="0" collapsed="false">
      <c r="D105" s="6" t="n">
        <f aca="false">$B$7</f>
        <v>44886</v>
      </c>
      <c r="E105" s="7" t="n">
        <f aca="false">E104+0.1/24</f>
        <v>0.433333333333333</v>
      </c>
      <c r="F105" s="8" t="n">
        <f aca="false">D105+2415018.5+E105-$B$5/24</f>
        <v>2459904.89166667</v>
      </c>
      <c r="G105" s="9" t="n">
        <f aca="false">(F105-2451545)/36525</f>
        <v>0.228881359799223</v>
      </c>
      <c r="I105" s="0" t="n">
        <f aca="false">MOD(280.46646+G105*(36000.76983+G105*0.0003032),360)</f>
        <v>240.371628392866</v>
      </c>
      <c r="J105" s="0" t="n">
        <f aca="false">357.52911+G105*(35999.05029-0.0001537*G105)</f>
        <v>8597.04068380397</v>
      </c>
      <c r="K105" s="0" t="n">
        <f aca="false">0.016708634-G105*(0.000042037+0.0000001267*G105)</f>
        <v>0.0166990058768862</v>
      </c>
      <c r="L105" s="0" t="n">
        <f aca="false">SIN(RADIANS(J105))*(1.914602-G105*(0.004817+0.000014*G105))+SIN(RADIANS(2*J105))*(0.019993-0.000101*G105)+SIN(RADIANS(3*J105))*0.000289</f>
        <v>-1.3241531999538</v>
      </c>
      <c r="M105" s="0" t="n">
        <f aca="false">I105+L105</f>
        <v>239.047475192912</v>
      </c>
      <c r="N105" s="0" t="n">
        <f aca="false">J105+L105</f>
        <v>8595.71653060401</v>
      </c>
      <c r="O105" s="0" t="n">
        <f aca="false">(1.000001018*(1-K105*K105))/(1+K105*COS(RADIANS(N105)))</f>
        <v>0.987911948651482</v>
      </c>
      <c r="P105" s="0" t="n">
        <f aca="false">M105-0.00569-0.00478*SIN(RADIANS(125.04-1934.136*G105))</f>
        <v>239.038564965893</v>
      </c>
      <c r="Q105" s="0" t="n">
        <f aca="false">23+(26+((21.448-G105*(46.815+G105*(0.00059-G105*0.001813))))/60)/60</f>
        <v>23.4363146972143</v>
      </c>
      <c r="R105" s="0" t="n">
        <f aca="false">Q105+0.00256*COS(RADIANS(125.04-1934.136*G105))</f>
        <v>23.4382065786715</v>
      </c>
      <c r="S105" s="0" t="n">
        <f aca="false">DEGREES(ATAN2(COS(RADIANS(P105)),COS(RADIANS(R105))*SIN(RADIANS(P105))))</f>
        <v>-123.180605160418</v>
      </c>
      <c r="T105" s="0" t="n">
        <f aca="false">DEGREES(ASIN(SIN(RADIANS(R105))*SIN(RADIANS(P105))))</f>
        <v>-19.9429612494308</v>
      </c>
      <c r="U105" s="0" t="n">
        <f aca="false">TAN(RADIANS(R105/2))*TAN(RADIANS(R105/2))</f>
        <v>0.0430304336881402</v>
      </c>
      <c r="V105" s="0" t="n">
        <f aca="false">4*DEGREES(U105*SIN(2*RADIANS(I105))-2*K105*SIN(RADIANS(J105))+4*K105*U105*SIN(RADIANS(J105))*COS(2*RADIANS(I105))-0.5*U105*U105*SIN(4*RADIANS(I105))-1.25*K105*K105*SIN(2*RADIANS(J105)))</f>
        <v>14.1877541291571</v>
      </c>
      <c r="W105" s="0" t="n">
        <f aca="false">DEGREES(ACOS(COS(RADIANS(90.833))/(COS(RADIANS($B$3))*COS(RADIANS(T105)))-TAN(RADIANS($B$3))*TAN(RADIANS(T105))))</f>
        <v>43.6410630034588</v>
      </c>
      <c r="X105" s="7" t="n">
        <f aca="false">(720-4*$B$4-V105+$B$5*60)/1440</f>
        <v>0.499883504076974</v>
      </c>
      <c r="Y105" s="7" t="n">
        <f aca="false">X105-W105*4/1440</f>
        <v>0.378658329067366</v>
      </c>
      <c r="Z105" s="7" t="n">
        <f aca="false">X105+W105*4/1440</f>
        <v>0.621108679086582</v>
      </c>
      <c r="AA105" s="10" t="n">
        <f aca="false">8*W105</f>
        <v>349.128504027671</v>
      </c>
      <c r="AB105" s="0" t="n">
        <f aca="false">MOD(E105*1440+V105+4*$B$4-60*$B$5,1440)</f>
        <v>624.167754129157</v>
      </c>
      <c r="AC105" s="0" t="n">
        <f aca="false">IF(AB105/4&lt;0,AB105/4+180,AB105/4-180)</f>
        <v>-23.9580614677109</v>
      </c>
      <c r="AD105" s="0" t="n">
        <f aca="false">DEGREES(ACOS(SIN(RADIANS($B$3))*SIN(RADIANS(T105))+COS(RADIANS($B$3))*COS(RADIANS(T105))*COS(RADIANS(AC105))))</f>
        <v>86.4157265870618</v>
      </c>
      <c r="AE105" s="0" t="n">
        <f aca="false">90-AD105</f>
        <v>3.58427341293825</v>
      </c>
      <c r="AF105" s="0" t="n">
        <f aca="false">IF(AE105&gt;85,0,IF(AE105&gt;5,58.1/TAN(RADIANS(AE105))-0.07/POWER(TAN(RADIANS(AE105)),3)+0.000086/POWER(TAN(RADIANS(AE105)),5),IF(AE105&gt;-0.575,1735+AE105*(-518.2+AE105*(103.4+AE105*(-12.79+AE105*0.711))),-20.772/TAN(RADIANS(AE105)))))/3600</f>
        <v>0.204004062635198</v>
      </c>
      <c r="AG105" s="0" t="n">
        <f aca="false">AE105+AF105</f>
        <v>3.78827747557344</v>
      </c>
      <c r="AH105" s="0" t="n">
        <f aca="false">IF(AC105&gt;0,MOD(DEGREES(ACOS(((SIN(RADIANS($B$3))*COS(RADIANS(AD105)))-SIN(RADIANS(T105)))/(COS(RADIANS($B$3))*SIN(RADIANS(AD105)))))+180,360),MOD(540-DEGREES(ACOS(((SIN(RADIANS($B$3))*COS(RADIANS(AD105)))-SIN(RADIANS(T105)))/(COS(RADIANS($B$3))*SIN(RADIANS(AD105))))),360))</f>
        <v>157.513535569155</v>
      </c>
    </row>
    <row r="106" customFormat="false" ht="15" hidden="false" customHeight="false" outlineLevel="0" collapsed="false">
      <c r="D106" s="6" t="n">
        <f aca="false">$B$7</f>
        <v>44886</v>
      </c>
      <c r="E106" s="7" t="n">
        <f aca="false">E105+0.1/24</f>
        <v>0.4375</v>
      </c>
      <c r="F106" s="8" t="n">
        <f aca="false">D106+2415018.5+E106-$B$5/24</f>
        <v>2459904.89583333</v>
      </c>
      <c r="G106" s="9" t="n">
        <f aca="false">(F106-2451545)/36525</f>
        <v>0.228881473876345</v>
      </c>
      <c r="I106" s="0" t="n">
        <f aca="false">MOD(280.46646+G106*(36000.76983+G106*0.0003032),360)</f>
        <v>240.375735257097</v>
      </c>
      <c r="J106" s="0" t="n">
        <f aca="false">357.52911+G106*(35999.05029-0.0001537*G106)</f>
        <v>8597.04479047201</v>
      </c>
      <c r="K106" s="0" t="n">
        <f aca="false">0.016708634-G106*(0.000042037+0.0000001267*G106)</f>
        <v>0.0166990058720841</v>
      </c>
      <c r="L106" s="0" t="n">
        <f aca="false">SIN(RADIANS(J106))*(1.914602-G106*(0.004817+0.000014*G106))+SIN(RADIANS(2*J106))*(0.019993-0.000101*G106)+SIN(RADIANS(3*J106))*0.000289</f>
        <v>-1.32405265986839</v>
      </c>
      <c r="M106" s="0" t="n">
        <f aca="false">I106+L106</f>
        <v>239.051682597229</v>
      </c>
      <c r="N106" s="0" t="n">
        <f aca="false">J106+L106</f>
        <v>8595.72073781214</v>
      </c>
      <c r="O106" s="0" t="n">
        <f aca="false">(1.000001018*(1-K106*K106))/(1+K106*COS(RADIANS(N106)))</f>
        <v>0.987911112883181</v>
      </c>
      <c r="P106" s="0" t="n">
        <f aca="false">M106-0.00569-0.00478*SIN(RADIANS(125.04-1934.136*G106))</f>
        <v>239.042772383813</v>
      </c>
      <c r="Q106" s="0" t="n">
        <f aca="false">23+(26+((21.448-G106*(46.815+G106*(0.00059-G106*0.001813))))/60)/60</f>
        <v>23.4363146957308</v>
      </c>
      <c r="R106" s="0" t="n">
        <f aca="false">Q106+0.00256*COS(RADIANS(125.04-1934.136*G106))</f>
        <v>23.4382065838295</v>
      </c>
      <c r="S106" s="0" t="n">
        <f aca="false">DEGREES(ATAN2(COS(RADIANS(P106)),COS(RADIANS(R106))*SIN(RADIANS(P106))))</f>
        <v>-123.176236650284</v>
      </c>
      <c r="T106" s="0" t="n">
        <f aca="false">DEGREES(ASIN(SIN(RADIANS(R106))*SIN(RADIANS(P106))))</f>
        <v>-19.9438770961392</v>
      </c>
      <c r="U106" s="0" t="n">
        <f aca="false">TAN(RADIANS(R106/2))*TAN(RADIANS(R106/2))</f>
        <v>0.0430304337076179</v>
      </c>
      <c r="V106" s="0" t="n">
        <f aca="false">4*DEGREES(U106*SIN(2*RADIANS(I106))-2*K106*SIN(RADIANS(J106))+4*K106*U106*SIN(RADIANS(J106))*COS(2*RADIANS(I106))-0.5*U106*U106*SIN(4*RADIANS(I106))-1.25*K106*K106*SIN(2*RADIANS(J106)))</f>
        <v>14.1866956851421</v>
      </c>
      <c r="W106" s="0" t="n">
        <f aca="false">DEGREES(ACOS(COS(RADIANS(90.833))/(COS(RADIANS($B$3))*COS(RADIANS(T106)))-TAN(RADIANS($B$3))*TAN(RADIANS(T106))))</f>
        <v>43.6379364677638</v>
      </c>
      <c r="X106" s="7" t="n">
        <f aca="false">(720-4*$B$4-V106+$B$5*60)/1440</f>
        <v>0.49988423910754</v>
      </c>
      <c r="Y106" s="7" t="n">
        <f aca="false">X106-W106*4/1440</f>
        <v>0.378667748919308</v>
      </c>
      <c r="Z106" s="7" t="n">
        <f aca="false">X106+W106*4/1440</f>
        <v>0.621100729295773</v>
      </c>
      <c r="AA106" s="10" t="n">
        <f aca="false">8*W106</f>
        <v>349.10349174211</v>
      </c>
      <c r="AB106" s="0" t="n">
        <f aca="false">MOD(E106*1440+V106+4*$B$4-60*$B$5,1440)</f>
        <v>630.166695685142</v>
      </c>
      <c r="AC106" s="0" t="n">
        <f aca="false">IF(AB106/4&lt;0,AB106/4+180,AB106/4-180)</f>
        <v>-22.4583260787146</v>
      </c>
      <c r="AD106" s="0" t="n">
        <f aca="false">DEGREES(ACOS(SIN(RADIANS($B$3))*SIN(RADIANS(T106))+COS(RADIANS($B$3))*COS(RADIANS(T106))*COS(RADIANS(AC106))))</f>
        <v>86.1766609119238</v>
      </c>
      <c r="AE106" s="0" t="n">
        <f aca="false">90-AD106</f>
        <v>3.8233390880762</v>
      </c>
      <c r="AF106" s="0" t="n">
        <f aca="false">IF(AE106&gt;85,0,IF(AE106&gt;5,58.1/TAN(RADIANS(AE106))-0.07/POWER(TAN(RADIANS(AE106)),3)+0.000086/POWER(TAN(RADIANS(AE106)),5),IF(AE106&gt;-0.575,1735+AE106*(-518.2+AE106*(103.4+AE106*(-12.79+AE106*0.711))),-20.772/TAN(RADIANS(AE106)))))/3600</f>
        <v>0.195095577060443</v>
      </c>
      <c r="AG106" s="0" t="n">
        <f aca="false">AE106+AF106</f>
        <v>4.01843466513664</v>
      </c>
      <c r="AH106" s="0" t="n">
        <f aca="false">IF(AC106&gt;0,MOD(DEGREES(ACOS(((SIN(RADIANS($B$3))*COS(RADIANS(AD106)))-SIN(RADIANS(T106)))/(COS(RADIANS($B$3))*SIN(RADIANS(AD106)))))+180,360),MOD(540-DEGREES(ACOS(((SIN(RADIANS($B$3))*COS(RADIANS(AD106)))-SIN(RADIANS(T106)))/(COS(RADIANS($B$3))*SIN(RADIANS(AD106))))),360))</f>
        <v>158.9058188456</v>
      </c>
    </row>
    <row r="107" customFormat="false" ht="15" hidden="false" customHeight="false" outlineLevel="0" collapsed="false">
      <c r="D107" s="6" t="n">
        <f aca="false">$B$7</f>
        <v>44886</v>
      </c>
      <c r="E107" s="7" t="n">
        <f aca="false">E106+0.1/24</f>
        <v>0.441666666666666</v>
      </c>
      <c r="F107" s="8" t="n">
        <f aca="false">D107+2415018.5+E107-$B$5/24</f>
        <v>2459904.9</v>
      </c>
      <c r="G107" s="9" t="n">
        <f aca="false">(F107-2451545)/36525</f>
        <v>0.228881587953467</v>
      </c>
      <c r="I107" s="0" t="n">
        <f aca="false">MOD(280.46646+G107*(36000.76983+G107*0.0003032),360)</f>
        <v>240.379842121329</v>
      </c>
      <c r="J107" s="0" t="n">
        <f aca="false">357.52911+G107*(35999.05029-0.0001537*G107)</f>
        <v>8597.04889714006</v>
      </c>
      <c r="K107" s="0" t="n">
        <f aca="false">0.016708634-G107*(0.000042037+0.0000001267*G107)</f>
        <v>0.016699005867282</v>
      </c>
      <c r="L107" s="0" t="n">
        <f aca="false">SIN(RADIANS(J107))*(1.914602-G107*(0.004817+0.000014*G107))+SIN(RADIANS(2*J107))*(0.019993-0.000101*G107)+SIN(RADIANS(3*J107))*0.000289</f>
        <v>-1.32395211266489</v>
      </c>
      <c r="M107" s="0" t="n">
        <f aca="false">I107+L107</f>
        <v>239.055890008664</v>
      </c>
      <c r="N107" s="0" t="n">
        <f aca="false">J107+L107</f>
        <v>8595.72494502739</v>
      </c>
      <c r="O107" s="0" t="n">
        <f aca="false">(1.000001018*(1-K107*K107))/(1+K107*COS(RADIANS(N107)))</f>
        <v>0.987910277177813</v>
      </c>
      <c r="P107" s="0" t="n">
        <f aca="false">M107-0.00569-0.00478*SIN(RADIANS(125.04-1934.136*G107))</f>
        <v>239.046979808851</v>
      </c>
      <c r="Q107" s="0" t="n">
        <f aca="false">23+(26+((21.448-G107*(46.815+G107*(0.00059-G107*0.001813))))/60)/60</f>
        <v>23.4363146942473</v>
      </c>
      <c r="R107" s="0" t="n">
        <f aca="false">Q107+0.00256*COS(RADIANS(125.04-1934.136*G107))</f>
        <v>23.4382065889874</v>
      </c>
      <c r="S107" s="0" t="n">
        <f aca="false">DEGREES(ATAN2(COS(RADIANS(P107)),COS(RADIANS(R107))*SIN(RADIANS(P107))))</f>
        <v>-123.171868082086</v>
      </c>
      <c r="T107" s="0" t="n">
        <f aca="false">DEGREES(ASIN(SIN(RADIANS(R107))*SIN(RADIANS(P107))))</f>
        <v>-19.9447928375972</v>
      </c>
      <c r="U107" s="0" t="n">
        <f aca="false">TAN(RADIANS(R107/2))*TAN(RADIANS(R107/2))</f>
        <v>0.0430304337270956</v>
      </c>
      <c r="V107" s="0" t="n">
        <f aca="false">4*DEGREES(U107*SIN(2*RADIANS(I107))-2*K107*SIN(RADIANS(J107))+4*K107*U107*SIN(RADIANS(J107))*COS(2*RADIANS(I107))-0.5*U107*U107*SIN(4*RADIANS(I107))-1.25*K107*K107*SIN(2*RADIANS(J107)))</f>
        <v>14.1856370087805</v>
      </c>
      <c r="W107" s="0" t="n">
        <f aca="false">DEGREES(ACOS(COS(RADIANS(90.833))/(COS(RADIANS($B$3))*COS(RADIANS(T107)))-TAN(RADIANS($B$3))*TAN(RADIANS(T107))))</f>
        <v>43.6348100769694</v>
      </c>
      <c r="X107" s="7" t="n">
        <f aca="false">(720-4*$B$4-V107+$B$5*60)/1440</f>
        <v>0.499884974299458</v>
      </c>
      <c r="Y107" s="7" t="n">
        <f aca="false">X107-W107*4/1440</f>
        <v>0.378677168530099</v>
      </c>
      <c r="Z107" s="7" t="n">
        <f aca="false">X107+W107*4/1440</f>
        <v>0.621092780068817</v>
      </c>
      <c r="AA107" s="10" t="n">
        <f aca="false">8*W107</f>
        <v>349.078480615755</v>
      </c>
      <c r="AB107" s="0" t="n">
        <f aca="false">MOD(E107*1440+V107+4*$B$4-60*$B$5,1440)</f>
        <v>636.16563700878</v>
      </c>
      <c r="AC107" s="0" t="n">
        <f aca="false">IF(AB107/4&lt;0,AB107/4+180,AB107/4-180)</f>
        <v>-20.958590747805</v>
      </c>
      <c r="AD107" s="0" t="n">
        <f aca="false">DEGREES(ACOS(SIN(RADIANS($B$3))*SIN(RADIANS(T107))+COS(RADIANS($B$3))*COS(RADIANS(T107))*COS(RADIANS(AC107))))</f>
        <v>85.9522672141586</v>
      </c>
      <c r="AE107" s="0" t="n">
        <f aca="false">90-AD107</f>
        <v>4.04773278584145</v>
      </c>
      <c r="AF107" s="0" t="n">
        <f aca="false">IF(AE107&gt;85,0,IF(AE107&gt;5,58.1/TAN(RADIANS(AE107))-0.07/POWER(TAN(RADIANS(AE107)),3)+0.000086/POWER(TAN(RADIANS(AE107)),5),IF(AE107&gt;-0.575,1735+AE107*(-518.2+AE107*(103.4+AE107*(-12.79+AE107*0.711))),-20.772/TAN(RADIANS(AE107)))))/3600</f>
        <v>0.187286308928008</v>
      </c>
      <c r="AG107" s="0" t="n">
        <f aca="false">AE107+AF107</f>
        <v>4.23501909476946</v>
      </c>
      <c r="AH107" s="0" t="n">
        <f aca="false">IF(AC107&gt;0,MOD(DEGREES(ACOS(((SIN(RADIANS($B$3))*COS(RADIANS(AD107)))-SIN(RADIANS(T107)))/(COS(RADIANS($B$3))*SIN(RADIANS(AD107)))))+180,360),MOD(540-DEGREES(ACOS(((SIN(RADIANS($B$3))*COS(RADIANS(AD107)))-SIN(RADIANS(T107)))/(COS(RADIANS($B$3))*SIN(RADIANS(AD107))))),360))</f>
        <v>160.300920394277</v>
      </c>
    </row>
    <row r="108" customFormat="false" ht="15" hidden="false" customHeight="false" outlineLevel="0" collapsed="false">
      <c r="D108" s="6" t="n">
        <f aca="false">$B$7</f>
        <v>44886</v>
      </c>
      <c r="E108" s="7" t="n">
        <f aca="false">E107+0.1/24</f>
        <v>0.445833333333333</v>
      </c>
      <c r="F108" s="8" t="n">
        <f aca="false">D108+2415018.5+E108-$B$5/24</f>
        <v>2459904.90416667</v>
      </c>
      <c r="G108" s="9" t="n">
        <f aca="false">(F108-2451545)/36525</f>
        <v>0.228881702030576</v>
      </c>
      <c r="I108" s="0" t="n">
        <f aca="false">MOD(280.46646+G108*(36000.76983+G108*0.0003032),360)</f>
        <v>240.3839489851</v>
      </c>
      <c r="J108" s="0" t="n">
        <f aca="false">357.52911+G108*(35999.05029-0.0001537*G108)</f>
        <v>8597.05300380765</v>
      </c>
      <c r="K108" s="0" t="n">
        <f aca="false">0.016708634-G108*(0.000042037+0.0000001267*G108)</f>
        <v>0.0166990058624799</v>
      </c>
      <c r="L108" s="0" t="n">
        <f aca="false">SIN(RADIANS(J108))*(1.914602-G108*(0.004817+0.000014*G108))+SIN(RADIANS(2*J108))*(0.019993-0.000101*G108)+SIN(RADIANS(3*J108))*0.000289</f>
        <v>-1.32385155835481</v>
      </c>
      <c r="M108" s="0" t="n">
        <f aca="false">I108+L108</f>
        <v>239.060097426745</v>
      </c>
      <c r="N108" s="0" t="n">
        <f aca="false">J108+L108</f>
        <v>8595.72915224929</v>
      </c>
      <c r="O108" s="0" t="n">
        <f aca="false">(1.000001018*(1-K108*K108))/(1+K108*COS(RADIANS(N108)))</f>
        <v>0.987909441535473</v>
      </c>
      <c r="P108" s="0" t="n">
        <f aca="false">M108-0.00569-0.00478*SIN(RADIANS(125.04-1934.136*G108))</f>
        <v>239.051187240535</v>
      </c>
      <c r="Q108" s="0" t="n">
        <f aca="false">23+(26+((21.448-G108*(46.815+G108*(0.00059-G108*0.001813))))/60)/60</f>
        <v>23.4363146927638</v>
      </c>
      <c r="R108" s="0" t="n">
        <f aca="false">Q108+0.00256*COS(RADIANS(125.04-1934.136*G108))</f>
        <v>23.4382065941453</v>
      </c>
      <c r="S108" s="0" t="n">
        <f aca="false">DEGREES(ATAN2(COS(RADIANS(P108)),COS(RADIANS(R108))*SIN(RADIANS(P108))))</f>
        <v>-123.167499456315</v>
      </c>
      <c r="T108" s="0" t="n">
        <f aca="false">DEGREES(ASIN(SIN(RADIANS(R108))*SIN(RADIANS(P108))))</f>
        <v>-19.945708473695</v>
      </c>
      <c r="U108" s="0" t="n">
        <f aca="false">TAN(RADIANS(R108/2))*TAN(RADIANS(R108/2))</f>
        <v>0.0430304337465731</v>
      </c>
      <c r="V108" s="0" t="n">
        <f aca="false">4*DEGREES(U108*SIN(2*RADIANS(I108))-2*K108*SIN(RADIANS(J108))+4*K108*U108*SIN(RADIANS(J108))*COS(2*RADIANS(I108))-0.5*U108*U108*SIN(4*RADIANS(I108))-1.25*K108*K108*SIN(2*RADIANS(J108)))</f>
        <v>14.1845781002034</v>
      </c>
      <c r="W108" s="0" t="n">
        <f aca="false">DEGREES(ACOS(COS(RADIANS(90.833))/(COS(RADIANS($B$3))*COS(RADIANS(T108)))-TAN(RADIANS($B$3))*TAN(RADIANS(T108))))</f>
        <v>43.6316838314762</v>
      </c>
      <c r="X108" s="7" t="n">
        <f aca="false">(720-4*$B$4-V108+$B$5*60)/1440</f>
        <v>0.499885709652636</v>
      </c>
      <c r="Y108" s="7" t="n">
        <f aca="false">X108-W108*4/1440</f>
        <v>0.378686587898536</v>
      </c>
      <c r="Z108" s="7" t="n">
        <f aca="false">X108+W108*4/1440</f>
        <v>0.621084831406737</v>
      </c>
      <c r="AA108" s="10" t="n">
        <f aca="false">8*W108</f>
        <v>349.05347065181</v>
      </c>
      <c r="AB108" s="0" t="n">
        <f aca="false">MOD(E108*1440+V108+4*$B$4-60*$B$5,1440)</f>
        <v>642.164578100203</v>
      </c>
      <c r="AC108" s="0" t="n">
        <f aca="false">IF(AB108/4&lt;0,AB108/4+180,AB108/4-180)</f>
        <v>-19.4588554749493</v>
      </c>
      <c r="AD108" s="0" t="n">
        <f aca="false">DEGREES(ACOS(SIN(RADIANS($B$3))*SIN(RADIANS(T108))+COS(RADIANS($B$3))*COS(RADIANS(T108))*COS(RADIANS(AC108))))</f>
        <v>85.7427080479829</v>
      </c>
      <c r="AE108" s="0" t="n">
        <f aca="false">90-AD108</f>
        <v>4.25729195201714</v>
      </c>
      <c r="AF108" s="0" t="n">
        <f aca="false">IF(AE108&gt;85,0,IF(AE108&gt;5,58.1/TAN(RADIANS(AE108))-0.07/POWER(TAN(RADIANS(AE108)),3)+0.000086/POWER(TAN(RADIANS(AE108)),5),IF(AE108&gt;-0.575,1735+AE108*(-518.2+AE108*(103.4+AE108*(-12.79+AE108*0.711))),-20.772/TAN(RADIANS(AE108)))))/3600</f>
        <v>0.180448904867194</v>
      </c>
      <c r="AG108" s="0" t="n">
        <f aca="false">AE108+AF108</f>
        <v>4.43774085688434</v>
      </c>
      <c r="AH108" s="0" t="n">
        <f aca="false">IF(AC108&gt;0,MOD(DEGREES(ACOS(((SIN(RADIANS($B$3))*COS(RADIANS(AD108)))-SIN(RADIANS(T108)))/(COS(RADIANS($B$3))*SIN(RADIANS(AD108)))))+180,360),MOD(540-DEGREES(ACOS(((SIN(RADIANS($B$3))*COS(RADIANS(AD108)))-SIN(RADIANS(T108)))/(COS(RADIANS($B$3))*SIN(RADIANS(AD108))))),360))</f>
        <v>161.698703864246</v>
      </c>
    </row>
    <row r="109" customFormat="false" ht="15" hidden="false" customHeight="false" outlineLevel="0" collapsed="false">
      <c r="D109" s="6" t="n">
        <f aca="false">$B$7</f>
        <v>44886</v>
      </c>
      <c r="E109" s="7" t="n">
        <f aca="false">E108+0.1/24</f>
        <v>0.45</v>
      </c>
      <c r="F109" s="8" t="n">
        <f aca="false">D109+2415018.5+E109-$B$5/24</f>
        <v>2459904.90833333</v>
      </c>
      <c r="G109" s="9" t="n">
        <f aca="false">(F109-2451545)/36525</f>
        <v>0.228881816107698</v>
      </c>
      <c r="I109" s="0" t="n">
        <f aca="false">MOD(280.46646+G109*(36000.76983+G109*0.0003032),360)</f>
        <v>240.388055849329</v>
      </c>
      <c r="J109" s="0" t="n">
        <f aca="false">357.52911+G109*(35999.05029-0.0001537*G109)</f>
        <v>8597.05711047569</v>
      </c>
      <c r="K109" s="0" t="n">
        <f aca="false">0.016708634-G109*(0.000042037+0.0000001267*G109)</f>
        <v>0.0166990058576779</v>
      </c>
      <c r="L109" s="0" t="n">
        <f aca="false">SIN(RADIANS(J109))*(1.914602-G109*(0.004817+0.000014*G109))+SIN(RADIANS(2*J109))*(0.019993-0.000101*G109)+SIN(RADIANS(3*J109))*0.000289</f>
        <v>-1.32375099691643</v>
      </c>
      <c r="M109" s="0" t="n">
        <f aca="false">I109+L109</f>
        <v>239.064304852413</v>
      </c>
      <c r="N109" s="0" t="n">
        <f aca="false">J109+L109</f>
        <v>8595.73335947877</v>
      </c>
      <c r="O109" s="0" t="n">
        <f aca="false">(1.000001018*(1-K109*K109))/(1+K109*COS(RADIANS(N109)))</f>
        <v>0.987908605955984</v>
      </c>
      <c r="P109" s="0" t="n">
        <f aca="false">M109-0.00569-0.00478*SIN(RADIANS(125.04-1934.136*G109))</f>
        <v>239.055394679807</v>
      </c>
      <c r="Q109" s="0" t="n">
        <f aca="false">23+(26+((21.448-G109*(46.815+G109*(0.00059-G109*0.001813))))/60)/60</f>
        <v>23.4363146912804</v>
      </c>
      <c r="R109" s="0" t="n">
        <f aca="false">Q109+0.00256*COS(RADIANS(125.04-1934.136*G109))</f>
        <v>23.4382065993031</v>
      </c>
      <c r="S109" s="0" t="n">
        <f aca="false">DEGREES(ATAN2(COS(RADIANS(P109)),COS(RADIANS(R109))*SIN(RADIANS(P109))))</f>
        <v>-123.163130771999</v>
      </c>
      <c r="T109" s="0" t="n">
        <f aca="false">DEGREES(ASIN(SIN(RADIANS(R109))*SIN(RADIANS(P109))))</f>
        <v>-19.9466240046304</v>
      </c>
      <c r="U109" s="0" t="n">
        <f aca="false">TAN(RADIANS(R109/2))*TAN(RADIANS(R109/2))</f>
        <v>0.0430304337660505</v>
      </c>
      <c r="V109" s="0" t="n">
        <f aca="false">4*DEGREES(U109*SIN(2*RADIANS(I109))-2*K109*SIN(RADIANS(J109))+4*K109*U109*SIN(RADIANS(J109))*COS(2*RADIANS(I109))-0.5*U109*U109*SIN(4*RADIANS(I109))-1.25*K109*K109*SIN(2*RADIANS(J109)))</f>
        <v>14.1835189591889</v>
      </c>
      <c r="W109" s="0" t="n">
        <f aca="false">DEGREES(ACOS(COS(RADIANS(90.833))/(COS(RADIANS($B$3))*COS(RADIANS(T109)))-TAN(RADIANS($B$3))*TAN(RADIANS(T109))))</f>
        <v>43.6285577306351</v>
      </c>
      <c r="X109" s="7" t="n">
        <f aca="false">(720-4*$B$4-V109+$B$5*60)/1440</f>
        <v>0.49988644516723</v>
      </c>
      <c r="Y109" s="7" t="n">
        <f aca="false">X109-W109*4/1440</f>
        <v>0.378696007026577</v>
      </c>
      <c r="Z109" s="7" t="n">
        <f aca="false">X109+W109*4/1440</f>
        <v>0.621076883307883</v>
      </c>
      <c r="AA109" s="10" t="n">
        <f aca="false">8*W109</f>
        <v>349.028461845081</v>
      </c>
      <c r="AB109" s="0" t="n">
        <f aca="false">MOD(E109*1440+V109+4*$B$4-60*$B$5,1440)</f>
        <v>648.163518959188</v>
      </c>
      <c r="AC109" s="0" t="n">
        <f aca="false">IF(AB109/4&lt;0,AB109/4+180,AB109/4-180)</f>
        <v>-17.9591202602029</v>
      </c>
      <c r="AD109" s="0" t="n">
        <f aca="false">DEGREES(ACOS(SIN(RADIANS($B$3))*SIN(RADIANS(T109))+COS(RADIANS($B$3))*COS(RADIANS(T109))*COS(RADIANS(AC109))))</f>
        <v>85.5481363954042</v>
      </c>
      <c r="AE109" s="0" t="n">
        <f aca="false">90-AD109</f>
        <v>4.45186360459577</v>
      </c>
      <c r="AF109" s="0" t="n">
        <f aca="false">IF(AE109&gt;85,0,IF(AE109&gt;5,58.1/TAN(RADIANS(AE109))-0.07/POWER(TAN(RADIANS(AE109)),3)+0.000086/POWER(TAN(RADIANS(AE109)),5),IF(AE109&gt;-0.575,1735+AE109*(-518.2+AE109*(103.4+AE109*(-12.79+AE109*0.711))),-20.772/TAN(RADIANS(AE109)))))/3600</f>
        <v>0.174480702067906</v>
      </c>
      <c r="AG109" s="0" t="n">
        <f aca="false">AE109+AF109</f>
        <v>4.62634430666368</v>
      </c>
      <c r="AH109" s="0" t="n">
        <f aca="false">IF(AC109&gt;0,MOD(DEGREES(ACOS(((SIN(RADIANS($B$3))*COS(RADIANS(AD109)))-SIN(RADIANS(T109)))/(COS(RADIANS($B$3))*SIN(RADIANS(AD109)))))+180,360),MOD(540-DEGREES(ACOS(((SIN(RADIANS($B$3))*COS(RADIANS(AD109)))-SIN(RADIANS(T109)))/(COS(RADIANS($B$3))*SIN(RADIANS(AD109))))),360))</f>
        <v>163.099022511035</v>
      </c>
    </row>
    <row r="110" customFormat="false" ht="15" hidden="false" customHeight="false" outlineLevel="0" collapsed="false">
      <c r="D110" s="6" t="n">
        <f aca="false">$B$7</f>
        <v>44886</v>
      </c>
      <c r="E110" s="7" t="n">
        <f aca="false">E109+0.1/24</f>
        <v>0.454166666666666</v>
      </c>
      <c r="F110" s="8" t="n">
        <f aca="false">D110+2415018.5+E110-$B$5/24</f>
        <v>2459904.9125</v>
      </c>
      <c r="G110" s="9" t="n">
        <f aca="false">(F110-2451545)/36525</f>
        <v>0.228881930184807</v>
      </c>
      <c r="I110" s="0" t="n">
        <f aca="false">MOD(280.46646+G110*(36000.76983+G110*0.0003032),360)</f>
        <v>240.392162713102</v>
      </c>
      <c r="J110" s="0" t="n">
        <f aca="false">357.52911+G110*(35999.05029-0.0001537*G110)</f>
        <v>8597.06121714328</v>
      </c>
      <c r="K110" s="0" t="n">
        <f aca="false">0.016708634-G110*(0.000042037+0.0000001267*G110)</f>
        <v>0.0166990058528758</v>
      </c>
      <c r="L110" s="0" t="n">
        <f aca="false">SIN(RADIANS(J110))*(1.914602-G110*(0.004817+0.000014*G110))+SIN(RADIANS(2*J110))*(0.019993-0.000101*G110)+SIN(RADIANS(3*J110))*0.000289</f>
        <v>-1.3236504283725</v>
      </c>
      <c r="M110" s="0" t="n">
        <f aca="false">I110+L110</f>
        <v>239.06851228473</v>
      </c>
      <c r="N110" s="0" t="n">
        <f aca="false">J110+L110</f>
        <v>8595.73756671491</v>
      </c>
      <c r="O110" s="0" t="n">
        <f aca="false">(1.000001018*(1-K110*K110))/(1+K110*COS(RADIANS(N110)))</f>
        <v>0.987907770439533</v>
      </c>
      <c r="P110" s="0" t="n">
        <f aca="false">M110-0.00569-0.00478*SIN(RADIANS(125.04-1934.136*G110))</f>
        <v>239.059602125727</v>
      </c>
      <c r="Q110" s="0" t="n">
        <f aca="false">23+(26+((21.448-G110*(46.815+G110*(0.00059-G110*0.001813))))/60)/60</f>
        <v>23.4363146897969</v>
      </c>
      <c r="R110" s="0" t="n">
        <f aca="false">Q110+0.00256*COS(RADIANS(125.04-1934.136*G110))</f>
        <v>23.4382066044609</v>
      </c>
      <c r="S110" s="0" t="n">
        <f aca="false">DEGREES(ATAN2(COS(RADIANS(P110)),COS(RADIANS(R110))*SIN(RADIANS(P110))))</f>
        <v>-123.158762030113</v>
      </c>
      <c r="T110" s="0" t="n">
        <f aca="false">DEGREES(ASIN(SIN(RADIANS(R110))*SIN(RADIANS(P110))))</f>
        <v>-19.947539430192</v>
      </c>
      <c r="U110" s="0" t="n">
        <f aca="false">TAN(RADIANS(R110/2))*TAN(RADIANS(R110/2))</f>
        <v>0.0430304337855278</v>
      </c>
      <c r="V110" s="0" t="n">
        <f aca="false">4*DEGREES(U110*SIN(2*RADIANS(I110))-2*K110*SIN(RADIANS(J110))+4*K110*U110*SIN(RADIANS(J110))*COS(2*RADIANS(I110))-0.5*U110*U110*SIN(4*RADIANS(I110))-1.25*K110*K110*SIN(2*RADIANS(J110)))</f>
        <v>14.1824595859859</v>
      </c>
      <c r="W110" s="0" t="n">
        <f aca="false">DEGREES(ACOS(COS(RADIANS(90.833))/(COS(RADIANS($B$3))*COS(RADIANS(T110)))-TAN(RADIANS($B$3))*TAN(RADIANS(T110))))</f>
        <v>43.6254317751929</v>
      </c>
      <c r="X110" s="7" t="n">
        <f aca="false">(720-4*$B$4-V110+$B$5*60)/1440</f>
        <v>0.499887180843065</v>
      </c>
      <c r="Y110" s="7" t="n">
        <f aca="false">X110-W110*4/1440</f>
        <v>0.378705425911974</v>
      </c>
      <c r="Z110" s="7" t="n">
        <f aca="false">X110+W110*4/1440</f>
        <v>0.621068935774157</v>
      </c>
      <c r="AA110" s="10" t="n">
        <f aca="false">8*W110</f>
        <v>349.003454201543</v>
      </c>
      <c r="AB110" s="0" t="n">
        <f aca="false">MOD(E110*1440+V110+4*$B$4-60*$B$5,1440)</f>
        <v>654.162459585985</v>
      </c>
      <c r="AC110" s="0" t="n">
        <f aca="false">IF(AB110/4&lt;0,AB110/4+180,AB110/4-180)</f>
        <v>-16.4593851035037</v>
      </c>
      <c r="AD110" s="0" t="n">
        <f aca="false">DEGREES(ACOS(SIN(RADIANS($B$3))*SIN(RADIANS(T110))+COS(RADIANS($B$3))*COS(RADIANS(T110))*COS(RADIANS(AC110))))</f>
        <v>85.3686953325809</v>
      </c>
      <c r="AE110" s="0" t="n">
        <f aca="false">90-AD110</f>
        <v>4.63130466741913</v>
      </c>
      <c r="AF110" s="0" t="n">
        <f aca="false">IF(AE110&gt;85,0,IF(AE110&gt;5,58.1/TAN(RADIANS(AE110))-0.07/POWER(TAN(RADIANS(AE110)),3)+0.000086/POWER(TAN(RADIANS(AE110)),5),IF(AE110&gt;-0.575,1735+AE110*(-518.2+AE110*(103.4+AE110*(-12.79+AE110*0.711))),-20.772/TAN(RADIANS(AE110)))))/3600</f>
        <v>0.169296461747939</v>
      </c>
      <c r="AG110" s="0" t="n">
        <f aca="false">AE110+AF110</f>
        <v>4.80060112916707</v>
      </c>
      <c r="AH110" s="0" t="n">
        <f aca="false">IF(AC110&gt;0,MOD(DEGREES(ACOS(((SIN(RADIANS($B$3))*COS(RADIANS(AD110)))-SIN(RADIANS(T110)))/(COS(RADIANS($B$3))*SIN(RADIANS(AD110)))))+180,360),MOD(540-DEGREES(ACOS(((SIN(RADIANS($B$3))*COS(RADIANS(AD110)))-SIN(RADIANS(T110)))/(COS(RADIANS($B$3))*SIN(RADIANS(AD110))))),360))</f>
        <v>164.501719718838</v>
      </c>
    </row>
    <row r="111" customFormat="false" ht="15" hidden="false" customHeight="false" outlineLevel="0" collapsed="false">
      <c r="D111" s="6" t="n">
        <f aca="false">$B$7</f>
        <v>44886</v>
      </c>
      <c r="E111" s="7" t="n">
        <f aca="false">E110+0.1/24</f>
        <v>0.458333333333333</v>
      </c>
      <c r="F111" s="8" t="n">
        <f aca="false">D111+2415018.5+E111-$B$5/24</f>
        <v>2459904.91666667</v>
      </c>
      <c r="G111" s="9" t="n">
        <f aca="false">(F111-2451545)/36525</f>
        <v>0.22888204426193</v>
      </c>
      <c r="I111" s="0" t="n">
        <f aca="false">MOD(280.46646+G111*(36000.76983+G111*0.0003032),360)</f>
        <v>240.396269577333</v>
      </c>
      <c r="J111" s="0" t="n">
        <f aca="false">357.52911+G111*(35999.05029-0.0001537*G111)</f>
        <v>8597.06532381133</v>
      </c>
      <c r="K111" s="0" t="n">
        <f aca="false">0.016708634-G111*(0.000042037+0.0000001267*G111)</f>
        <v>0.0166990058480737</v>
      </c>
      <c r="L111" s="0" t="n">
        <f aca="false">SIN(RADIANS(J111))*(1.914602-G111*(0.004817+0.000014*G111))+SIN(RADIANS(2*J111))*(0.019993-0.000101*G111)+SIN(RADIANS(3*J111))*0.000289</f>
        <v>-1.32354985270122</v>
      </c>
      <c r="M111" s="0" t="n">
        <f aca="false">I111+L111</f>
        <v>239.072719724632</v>
      </c>
      <c r="N111" s="0" t="n">
        <f aca="false">J111+L111</f>
        <v>8595.74177395863</v>
      </c>
      <c r="O111" s="0" t="n">
        <f aca="false">(1.000001018*(1-K111*K111))/(1+K111*COS(RADIANS(N111)))</f>
        <v>0.98790693498594</v>
      </c>
      <c r="P111" s="0" t="n">
        <f aca="false">M111-0.00569-0.00478*SIN(RADIANS(125.04-1934.136*G111))</f>
        <v>239.063809579233</v>
      </c>
      <c r="Q111" s="0" t="n">
        <f aca="false">23+(26+((21.448-G111*(46.815+G111*(0.00059-G111*0.001813))))/60)/60</f>
        <v>23.4363146883134</v>
      </c>
      <c r="R111" s="0" t="n">
        <f aca="false">Q111+0.00256*COS(RADIANS(125.04-1934.136*G111))</f>
        <v>23.4382066096187</v>
      </c>
      <c r="S111" s="0" t="n">
        <f aca="false">DEGREES(ATAN2(COS(RADIANS(P111)),COS(RADIANS(R111))*SIN(RADIANS(P111))))</f>
        <v>-123.154393229688</v>
      </c>
      <c r="T111" s="0" t="n">
        <f aca="false">DEGREES(ASIN(SIN(RADIANS(R111))*SIN(RADIANS(P111))))</f>
        <v>-19.9484547505767</v>
      </c>
      <c r="U111" s="0" t="n">
        <f aca="false">TAN(RADIANS(R111/2))*TAN(RADIANS(R111/2))</f>
        <v>0.043030433805005</v>
      </c>
      <c r="V111" s="0" t="n">
        <f aca="false">4*DEGREES(U111*SIN(2*RADIANS(I111))-2*K111*SIN(RADIANS(J111))+4*K111*U111*SIN(RADIANS(J111))*COS(2*RADIANS(I111))-0.5*U111*U111*SIN(4*RADIANS(I111))-1.25*K111*K111*SIN(2*RADIANS(J111)))</f>
        <v>14.1813999803725</v>
      </c>
      <c r="W111" s="0" t="n">
        <f aca="false">DEGREES(ACOS(COS(RADIANS(90.833))/(COS(RADIANS($B$3))*COS(RADIANS(T111)))-TAN(RADIANS($B$3))*TAN(RADIANS(T111))))</f>
        <v>43.6223059645035</v>
      </c>
      <c r="X111" s="7" t="n">
        <f aca="false">(720-4*$B$4-V111+$B$5*60)/1440</f>
        <v>0.499887916680297</v>
      </c>
      <c r="Y111" s="7" t="n">
        <f aca="false">X111-W111*4/1440</f>
        <v>0.378714844556676</v>
      </c>
      <c r="Z111" s="7" t="n">
        <f aca="false">X111+W111*4/1440</f>
        <v>0.621060988803918</v>
      </c>
      <c r="AA111" s="10" t="n">
        <f aca="false">8*W111</f>
        <v>348.978447716028</v>
      </c>
      <c r="AB111" s="0" t="n">
        <f aca="false">MOD(E111*1440+V111+4*$B$4-60*$B$5,1440)</f>
        <v>660.161399980372</v>
      </c>
      <c r="AC111" s="0" t="n">
        <f aca="false">IF(AB111/4&lt;0,AB111/4+180,AB111/4-180)</f>
        <v>-14.959650004907</v>
      </c>
      <c r="AD111" s="0" t="n">
        <f aca="false">DEGREES(ACOS(SIN(RADIANS($B$3))*SIN(RADIANS(T111))+COS(RADIANS($B$3))*COS(RADIANS(T111))*COS(RADIANS(AC111))))</f>
        <v>85.2045177123594</v>
      </c>
      <c r="AE111" s="0" t="n">
        <f aca="false">90-AD111</f>
        <v>4.79548228764058</v>
      </c>
      <c r="AF111" s="0" t="n">
        <f aca="false">IF(AE111&gt;85,0,IF(AE111&gt;5,58.1/TAN(RADIANS(AE111))-0.07/POWER(TAN(RADIANS(AE111)),3)+0.000086/POWER(TAN(RADIANS(AE111)),5),IF(AE111&gt;-0.575,1735+AE111*(-518.2+AE111*(103.4+AE111*(-12.79+AE111*0.711))),-20.772/TAN(RADIANS(AE111)))))/3600</f>
        <v>0.164822945623498</v>
      </c>
      <c r="AG111" s="0" t="n">
        <f aca="false">AE111+AF111</f>
        <v>4.96030523326408</v>
      </c>
      <c r="AH111" s="0" t="n">
        <f aca="false">IF(AC111&gt;0,MOD(DEGREES(ACOS(((SIN(RADIANS($B$3))*COS(RADIANS(AD111)))-SIN(RADIANS(T111)))/(COS(RADIANS($B$3))*SIN(RADIANS(AD111)))))+180,360),MOD(540-DEGREES(ACOS(((SIN(RADIANS($B$3))*COS(RADIANS(AD111)))-SIN(RADIANS(T111)))/(COS(RADIANS($B$3))*SIN(RADIANS(AD111))))),360))</f>
        <v>165.906629566832</v>
      </c>
    </row>
    <row r="112" customFormat="false" ht="15" hidden="false" customHeight="false" outlineLevel="0" collapsed="false">
      <c r="D112" s="6" t="n">
        <f aca="false">$B$7</f>
        <v>44886</v>
      </c>
      <c r="E112" s="7" t="n">
        <f aca="false">E111+0.1/24</f>
        <v>0.4625</v>
      </c>
      <c r="F112" s="8" t="n">
        <f aca="false">D112+2415018.5+E112-$B$5/24</f>
        <v>2459904.92083333</v>
      </c>
      <c r="G112" s="9" t="n">
        <f aca="false">(F112-2451545)/36525</f>
        <v>0.228882158339039</v>
      </c>
      <c r="I112" s="0" t="n">
        <f aca="false">MOD(280.46646+G112*(36000.76983+G112*0.0003032),360)</f>
        <v>240.400376441105</v>
      </c>
      <c r="J112" s="0" t="n">
        <f aca="false">357.52911+G112*(35999.05029-0.0001537*G112)</f>
        <v>8597.06943047891</v>
      </c>
      <c r="K112" s="0" t="n">
        <f aca="false">0.016708634-G112*(0.000042037+0.0000001267*G112)</f>
        <v>0.0166990058432716</v>
      </c>
      <c r="L112" s="0" t="n">
        <f aca="false">SIN(RADIANS(J112))*(1.914602-G112*(0.004817+0.000014*G112))+SIN(RADIANS(2*J112))*(0.019993-0.000101*G112)+SIN(RADIANS(3*J112))*0.000289</f>
        <v>-1.3234492699256</v>
      </c>
      <c r="M112" s="0" t="n">
        <f aca="false">I112+L112</f>
        <v>239.076927171179</v>
      </c>
      <c r="N112" s="0" t="n">
        <f aca="false">J112+L112</f>
        <v>8595.74598120899</v>
      </c>
      <c r="O112" s="0" t="n">
        <f aca="false">(1.000001018*(1-K112*K112))/(1+K112*COS(RADIANS(N112)))</f>
        <v>0.987906099595395</v>
      </c>
      <c r="P112" s="0" t="n">
        <f aca="false">M112-0.00569-0.00478*SIN(RADIANS(125.04-1934.136*G112))</f>
        <v>239.068017039384</v>
      </c>
      <c r="Q112" s="0" t="n">
        <f aca="false">23+(26+((21.448-G112*(46.815+G112*(0.00059-G112*0.001813))))/60)/60</f>
        <v>23.4363146868299</v>
      </c>
      <c r="R112" s="0" t="n">
        <f aca="false">Q112+0.00256*COS(RADIANS(125.04-1934.136*G112))</f>
        <v>23.4382066147765</v>
      </c>
      <c r="S112" s="0" t="n">
        <f aca="false">DEGREES(ATAN2(COS(RADIANS(P112)),COS(RADIANS(R112))*SIN(RADIANS(P112))))</f>
        <v>-123.150024371703</v>
      </c>
      <c r="T112" s="0" t="n">
        <f aca="false">DEGREES(ASIN(SIN(RADIANS(R112))*SIN(RADIANS(P112))))</f>
        <v>-19.9493699655724</v>
      </c>
      <c r="U112" s="0" t="n">
        <f aca="false">TAN(RADIANS(R112/2))*TAN(RADIANS(R112/2))</f>
        <v>0.043030433824482</v>
      </c>
      <c r="V112" s="0" t="n">
        <f aca="false">4*DEGREES(U112*SIN(2*RADIANS(I112))-2*K112*SIN(RADIANS(J112))+4*K112*U112*SIN(RADIANS(J112))*COS(2*RADIANS(I112))-0.5*U112*U112*SIN(4*RADIANS(I112))-1.25*K112*K112*SIN(2*RADIANS(J112)))</f>
        <v>14.1803401425995</v>
      </c>
      <c r="W112" s="0" t="n">
        <f aca="false">DEGREES(ACOS(COS(RADIANS(90.833))/(COS(RADIANS($B$3))*COS(RADIANS(T112)))-TAN(RADIANS($B$3))*TAN(RADIANS(T112))))</f>
        <v>43.6191802993163</v>
      </c>
      <c r="X112" s="7" t="n">
        <f aca="false">(720-4*$B$4-V112+$B$5*60)/1440</f>
        <v>0.49988865267875</v>
      </c>
      <c r="Y112" s="7" t="n">
        <f aca="false">X112-W112*4/1440</f>
        <v>0.378724262958427</v>
      </c>
      <c r="Z112" s="7" t="n">
        <f aca="false">X112+W112*4/1440</f>
        <v>0.621053042399073</v>
      </c>
      <c r="AA112" s="10" t="n">
        <f aca="false">8*W112</f>
        <v>348.95344239453</v>
      </c>
      <c r="AB112" s="0" t="n">
        <f aca="false">MOD(E112*1440+V112+4*$B$4-60*$B$5,1440)</f>
        <v>666.160340142599</v>
      </c>
      <c r="AC112" s="0" t="n">
        <f aca="false">IF(AB112/4&lt;0,AB112/4+180,AB112/4-180)</f>
        <v>-13.4599149643502</v>
      </c>
      <c r="AD112" s="0" t="n">
        <f aca="false">DEGREES(ACOS(SIN(RADIANS($B$3))*SIN(RADIANS(T112))+COS(RADIANS($B$3))*COS(RADIANS(T112))*COS(RADIANS(AC112))))</f>
        <v>85.0557258618385</v>
      </c>
      <c r="AE112" s="0" t="n">
        <f aca="false">90-AD112</f>
        <v>4.94427413816153</v>
      </c>
      <c r="AF112" s="0" t="n">
        <f aca="false">IF(AE112&gt;85,0,IF(AE112&gt;5,58.1/TAN(RADIANS(AE112))-0.07/POWER(TAN(RADIANS(AE112)),3)+0.000086/POWER(TAN(RADIANS(AE112)),5),IF(AE112&gt;-0.575,1735+AE112*(-518.2+AE112*(103.4+AE112*(-12.79+AE112*0.711))),-20.772/TAN(RADIANS(AE112)))))/3600</f>
        <v>0.160995101863565</v>
      </c>
      <c r="AG112" s="0" t="n">
        <f aca="false">AE112+AF112</f>
        <v>5.1052692400251</v>
      </c>
      <c r="AH112" s="0" t="n">
        <f aca="false">IF(AC112&gt;0,MOD(DEGREES(ACOS(((SIN(RADIANS($B$3))*COS(RADIANS(AD112)))-SIN(RADIANS(T112)))/(COS(RADIANS($B$3))*SIN(RADIANS(AD112)))))+180,360),MOD(540-DEGREES(ACOS(((SIN(RADIANS($B$3))*COS(RADIANS(AD112)))-SIN(RADIANS(T112)))/(COS(RADIANS($B$3))*SIN(RADIANS(AD112))))),360))</f>
        <v>167.313577438652</v>
      </c>
    </row>
    <row r="113" customFormat="false" ht="15" hidden="false" customHeight="false" outlineLevel="0" collapsed="false">
      <c r="D113" s="6" t="n">
        <f aca="false">$B$7</f>
        <v>44886</v>
      </c>
      <c r="E113" s="7" t="n">
        <f aca="false">E112+0.1/24</f>
        <v>0.466666666666666</v>
      </c>
      <c r="F113" s="8" t="n">
        <f aca="false">D113+2415018.5+E113-$B$5/24</f>
        <v>2459904.925</v>
      </c>
      <c r="G113" s="9" t="n">
        <f aca="false">(F113-2451545)/36525</f>
        <v>0.228882272416161</v>
      </c>
      <c r="I113" s="0" t="n">
        <f aca="false">MOD(280.46646+G113*(36000.76983+G113*0.0003032),360)</f>
        <v>240.404483305334</v>
      </c>
      <c r="J113" s="0" t="n">
        <f aca="false">357.52911+G113*(35999.05029-0.0001537*G113)</f>
        <v>8597.07353714696</v>
      </c>
      <c r="K113" s="0" t="n">
        <f aca="false">0.016708634-G113*(0.000042037+0.0000001267*G113)</f>
        <v>0.0166990058384696</v>
      </c>
      <c r="L113" s="0" t="n">
        <f aca="false">SIN(RADIANS(J113))*(1.914602-G113*(0.004817+0.000014*G113))+SIN(RADIANS(2*J113))*(0.019993-0.000101*G113)+SIN(RADIANS(3*J113))*0.000289</f>
        <v>-1.32334868002359</v>
      </c>
      <c r="M113" s="0" t="n">
        <f aca="false">I113+L113</f>
        <v>239.08113462531</v>
      </c>
      <c r="N113" s="0" t="n">
        <f aca="false">J113+L113</f>
        <v>8595.75018846694</v>
      </c>
      <c r="O113" s="0" t="n">
        <f aca="false">(1.000001018*(1-K113*K113))/(1+K113*COS(RADIANS(N113)))</f>
        <v>0.987905264267717</v>
      </c>
      <c r="P113" s="0" t="n">
        <f aca="false">M113-0.00569-0.00478*SIN(RADIANS(125.04-1934.136*G113))</f>
        <v>239.072224507119</v>
      </c>
      <c r="Q113" s="0" t="n">
        <f aca="false">23+(26+((21.448-G113*(46.815+G113*(0.00059-G113*0.001813))))/60)/60</f>
        <v>23.4363146853464</v>
      </c>
      <c r="R113" s="0" t="n">
        <f aca="false">Q113+0.00256*COS(RADIANS(125.04-1934.136*G113))</f>
        <v>23.4382066199343</v>
      </c>
      <c r="S113" s="0" t="n">
        <f aca="false">DEGREES(ATAN2(COS(RADIANS(P113)),COS(RADIANS(R113))*SIN(RADIANS(P113))))</f>
        <v>-123.145655455184</v>
      </c>
      <c r="T113" s="0" t="n">
        <f aca="false">DEGREES(ASIN(SIN(RADIANS(R113))*SIN(RADIANS(P113))))</f>
        <v>-19.9502850753767</v>
      </c>
      <c r="U113" s="0" t="n">
        <f aca="false">TAN(RADIANS(R113/2))*TAN(RADIANS(R113/2))</f>
        <v>0.0430304338439591</v>
      </c>
      <c r="V113" s="0" t="n">
        <f aca="false">4*DEGREES(U113*SIN(2*RADIANS(I113))-2*K113*SIN(RADIANS(J113))+4*K113*U113*SIN(RADIANS(J113))*COS(2*RADIANS(I113))-0.5*U113*U113*SIN(4*RADIANS(I113))-1.25*K113*K113*SIN(2*RADIANS(J113)))</f>
        <v>14.1792800724434</v>
      </c>
      <c r="W113" s="0" t="n">
        <f aca="false">DEGREES(ACOS(COS(RADIANS(90.833))/(COS(RADIANS($B$3))*COS(RADIANS(T113)))-TAN(RADIANS($B$3))*TAN(RADIANS(T113))))</f>
        <v>43.6160547789824</v>
      </c>
      <c r="X113" s="7" t="n">
        <f aca="false">(720-4*$B$4-V113+$B$5*60)/1440</f>
        <v>0.499889388838581</v>
      </c>
      <c r="Y113" s="7" t="n">
        <f aca="false">X113-W113*4/1440</f>
        <v>0.378733681119186</v>
      </c>
      <c r="Z113" s="7" t="n">
        <f aca="false">X113+W113*4/1440</f>
        <v>0.621045096557977</v>
      </c>
      <c r="AA113" s="10" t="n">
        <f aca="false">8*W113</f>
        <v>348.928438231859</v>
      </c>
      <c r="AB113" s="0" t="n">
        <f aca="false">MOD(E113*1440+V113+4*$B$4-60*$B$5,1440)</f>
        <v>672.159280072443</v>
      </c>
      <c r="AC113" s="0" t="n">
        <f aca="false">IF(AB113/4&lt;0,AB113/4+180,AB113/4-180)</f>
        <v>-11.9601799818893</v>
      </c>
      <c r="AD113" s="0" t="n">
        <f aca="false">DEGREES(ACOS(SIN(RADIANS($B$3))*SIN(RADIANS(T113))+COS(RADIANS($B$3))*COS(RADIANS(T113))*COS(RADIANS(AC113))))</f>
        <v>84.9224313003436</v>
      </c>
      <c r="AE113" s="0" t="n">
        <f aca="false">90-AD113</f>
        <v>5.07756869965641</v>
      </c>
      <c r="AF113" s="0" t="n">
        <f aca="false">IF(AE113&gt;85,0,IF(AE113&gt;5,58.1/TAN(RADIANS(AE113))-0.07/POWER(TAN(RADIANS(AE113)),3)+0.000086/POWER(TAN(RADIANS(AE113)),5),IF(AE113&gt;-0.575,1735+AE113*(-518.2+AE113*(103.4+AE113*(-12.79+AE113*0.711))),-20.772/TAN(RADIANS(AE113)))))/3600</f>
        <v>0.158230259726749</v>
      </c>
      <c r="AG113" s="0" t="n">
        <f aca="false">AE113+AF113</f>
        <v>5.23579895938316</v>
      </c>
      <c r="AH113" s="0" t="n">
        <f aca="false">IF(AC113&gt;0,MOD(DEGREES(ACOS(((SIN(RADIANS($B$3))*COS(RADIANS(AD113)))-SIN(RADIANS(T113)))/(COS(RADIANS($B$3))*SIN(RADIANS(AD113)))))+180,360),MOD(540-DEGREES(ACOS(((SIN(RADIANS($B$3))*COS(RADIANS(AD113)))-SIN(RADIANS(T113)))/(COS(RADIANS($B$3))*SIN(RADIANS(AD113))))),360))</f>
        <v>168.72238067275</v>
      </c>
    </row>
    <row r="114" customFormat="false" ht="15" hidden="false" customHeight="false" outlineLevel="0" collapsed="false">
      <c r="D114" s="6" t="n">
        <f aca="false">$B$7</f>
        <v>44886</v>
      </c>
      <c r="E114" s="7" t="n">
        <f aca="false">E113+0.1/24</f>
        <v>0.470833333333333</v>
      </c>
      <c r="F114" s="8" t="n">
        <f aca="false">D114+2415018.5+E114-$B$5/24</f>
        <v>2459904.92916667</v>
      </c>
      <c r="G114" s="9" t="n">
        <f aca="false">(F114-2451545)/36525</f>
        <v>0.22888238649327</v>
      </c>
      <c r="I114" s="0" t="n">
        <f aca="false">MOD(280.46646+G114*(36000.76983+G114*0.0003032),360)</f>
        <v>240.408590169107</v>
      </c>
      <c r="J114" s="0" t="n">
        <f aca="false">357.52911+G114*(35999.05029-0.0001537*G114)</f>
        <v>8597.07764381455</v>
      </c>
      <c r="K114" s="0" t="n">
        <f aca="false">0.016708634-G114*(0.000042037+0.0000001267*G114)</f>
        <v>0.0166990058336675</v>
      </c>
      <c r="L114" s="0" t="n">
        <f aca="false">SIN(RADIANS(J114))*(1.914602-G114*(0.004817+0.000014*G114))+SIN(RADIANS(2*J114))*(0.019993-0.000101*G114)+SIN(RADIANS(3*J114))*0.000289</f>
        <v>-1.32324808301823</v>
      </c>
      <c r="M114" s="0" t="n">
        <f aca="false">I114+L114</f>
        <v>239.085342086089</v>
      </c>
      <c r="N114" s="0" t="n">
        <f aca="false">J114+L114</f>
        <v>8595.75439573153</v>
      </c>
      <c r="O114" s="0" t="n">
        <f aca="false">(1.000001018*(1-K114*K114))/(1+K114*COS(RADIANS(N114)))</f>
        <v>0.987904429003097</v>
      </c>
      <c r="P114" s="0" t="n">
        <f aca="false">M114-0.00569-0.00478*SIN(RADIANS(125.04-1934.136*G114))</f>
        <v>239.076431981501</v>
      </c>
      <c r="Q114" s="0" t="n">
        <f aca="false">23+(26+((21.448-G114*(46.815+G114*(0.00059-G114*0.001813))))/60)/60</f>
        <v>23.436314683863</v>
      </c>
      <c r="R114" s="0" t="n">
        <f aca="false">Q114+0.00256*COS(RADIANS(125.04-1934.136*G114))</f>
        <v>23.438206625092</v>
      </c>
      <c r="S114" s="0" t="n">
        <f aca="false">DEGREES(ATAN2(COS(RADIANS(P114)),COS(RADIANS(R114))*SIN(RADIANS(P114))))</f>
        <v>-123.141286481109</v>
      </c>
      <c r="T114" s="0" t="n">
        <f aca="false">DEGREES(ASIN(SIN(RADIANS(R114))*SIN(RADIANS(P114))))</f>
        <v>-19.9512000797784</v>
      </c>
      <c r="U114" s="0" t="n">
        <f aca="false">TAN(RADIANS(R114/2))*TAN(RADIANS(R114/2))</f>
        <v>0.0430304338634359</v>
      </c>
      <c r="V114" s="0" t="n">
        <f aca="false">4*DEGREES(U114*SIN(2*RADIANS(I114))-2*K114*SIN(RADIANS(J114))+4*K114*U114*SIN(RADIANS(J114))*COS(2*RADIANS(I114))-0.5*U114*U114*SIN(4*RADIANS(I114))-1.25*K114*K114*SIN(2*RADIANS(J114)))</f>
        <v>14.1782197701544</v>
      </c>
      <c r="W114" s="0" t="n">
        <f aca="false">DEGREES(ACOS(COS(RADIANS(90.833))/(COS(RADIANS($B$3))*COS(RADIANS(T114)))-TAN(RADIANS($B$3))*TAN(RADIANS(T114))))</f>
        <v>43.6129294042485</v>
      </c>
      <c r="X114" s="7" t="n">
        <f aca="false">(720-4*$B$4-V114+$B$5*60)/1440</f>
        <v>0.499890125159615</v>
      </c>
      <c r="Y114" s="7" t="n">
        <f aca="false">X114-W114*4/1440</f>
        <v>0.378743099036702</v>
      </c>
      <c r="Z114" s="7" t="n">
        <f aca="false">X114+W114*4/1440</f>
        <v>0.621037151282528</v>
      </c>
      <c r="AA114" s="10" t="n">
        <f aca="false">8*W114</f>
        <v>348.903435233988</v>
      </c>
      <c r="AB114" s="0" t="n">
        <f aca="false">MOD(E114*1440+V114+4*$B$4-60*$B$5,1440)</f>
        <v>678.158219770154</v>
      </c>
      <c r="AC114" s="0" t="n">
        <f aca="false">IF(AB114/4&lt;0,AB114/4+180,AB114/4-180)</f>
        <v>-10.4604450574616</v>
      </c>
      <c r="AD114" s="0" t="n">
        <f aca="false">DEGREES(ACOS(SIN(RADIANS($B$3))*SIN(RADIANS(T114))+COS(RADIANS($B$3))*COS(RADIANS(T114))*COS(RADIANS(AC114))))</f>
        <v>84.8047344764035</v>
      </c>
      <c r="AE114" s="0" t="n">
        <f aca="false">90-AD114</f>
        <v>5.19526552359652</v>
      </c>
      <c r="AF114" s="0" t="n">
        <f aca="false">IF(AE114&gt;85,0,IF(AE114&gt;5,58.1/TAN(RADIANS(AE114))-0.07/POWER(TAN(RADIANS(AE114)),3)+0.000086/POWER(TAN(RADIANS(AE114)),5),IF(AE114&gt;-0.575,1735+AE114*(-518.2+AE114*(103.4+AE114*(-12.79+AE114*0.711))),-20.772/TAN(RADIANS(AE114)))))/3600</f>
        <v>0.155475262266583</v>
      </c>
      <c r="AG114" s="0" t="n">
        <f aca="false">AE114+AF114</f>
        <v>5.3507407858631</v>
      </c>
      <c r="AH114" s="0" t="n">
        <f aca="false">IF(AC114&gt;0,MOD(DEGREES(ACOS(((SIN(RADIANS($B$3))*COS(RADIANS(AD114)))-SIN(RADIANS(T114)))/(COS(RADIANS($B$3))*SIN(RADIANS(AD114)))))+180,360),MOD(540-DEGREES(ACOS(((SIN(RADIANS($B$3))*COS(RADIANS(AD114)))-SIN(RADIANS(T114)))/(COS(RADIANS($B$3))*SIN(RADIANS(AD114))))),360))</f>
        <v>170.132849251955</v>
      </c>
    </row>
    <row r="115" customFormat="false" ht="15" hidden="false" customHeight="false" outlineLevel="0" collapsed="false">
      <c r="D115" s="6" t="n">
        <f aca="false">$B$7</f>
        <v>44886</v>
      </c>
      <c r="E115" s="7" t="n">
        <f aca="false">E114+0.1/24</f>
        <v>0.475</v>
      </c>
      <c r="F115" s="8" t="n">
        <f aca="false">D115+2415018.5+E115-$B$5/24</f>
        <v>2459904.93333333</v>
      </c>
      <c r="G115" s="9" t="n">
        <f aca="false">(F115-2451545)/36525</f>
        <v>0.228882500570392</v>
      </c>
      <c r="I115" s="0" t="n">
        <f aca="false">MOD(280.46646+G115*(36000.76983+G115*0.0003032),360)</f>
        <v>240.412697033338</v>
      </c>
      <c r="J115" s="0" t="n">
        <f aca="false">357.52911+G115*(35999.05029-0.0001537*G115)</f>
        <v>8597.0817504826</v>
      </c>
      <c r="K115" s="0" t="n">
        <f aca="false">0.016708634-G115*(0.000042037+0.0000001267*G115)</f>
        <v>0.0166990058288654</v>
      </c>
      <c r="L115" s="0" t="n">
        <f aca="false">SIN(RADIANS(J115))*(1.914602-G115*(0.004817+0.000014*G115))+SIN(RADIANS(2*J115))*(0.019993-0.000101*G115)+SIN(RADIANS(3*J115))*0.000289</f>
        <v>-1.32314747888759</v>
      </c>
      <c r="M115" s="0" t="n">
        <f aca="false">I115+L115</f>
        <v>239.089549554451</v>
      </c>
      <c r="N115" s="0" t="n">
        <f aca="false">J115+L115</f>
        <v>8595.75860300371</v>
      </c>
      <c r="O115" s="0" t="n">
        <f aca="false">(1.000001018*(1-K115*K115))/(1+K115*COS(RADIANS(N115)))</f>
        <v>0.987903593801353</v>
      </c>
      <c r="P115" s="0" t="n">
        <f aca="false">M115-0.00569-0.00478*SIN(RADIANS(125.04-1934.136*G115))</f>
        <v>239.080639463466</v>
      </c>
      <c r="Q115" s="0" t="n">
        <f aca="false">23+(26+((21.448-G115*(46.815+G115*(0.00059-G115*0.001813))))/60)/60</f>
        <v>23.4363146823795</v>
      </c>
      <c r="R115" s="0" t="n">
        <f aca="false">Q115+0.00256*COS(RADIANS(125.04-1934.136*G115))</f>
        <v>23.4382066302496</v>
      </c>
      <c r="S115" s="0" t="n">
        <f aca="false">DEGREES(ATAN2(COS(RADIANS(P115)),COS(RADIANS(R115))*SIN(RADIANS(P115))))</f>
        <v>-123.136917448506</v>
      </c>
      <c r="T115" s="0" t="n">
        <f aca="false">DEGREES(ASIN(SIN(RADIANS(R115))*SIN(RADIANS(P115))))</f>
        <v>-19.9521149789742</v>
      </c>
      <c r="U115" s="0" t="n">
        <f aca="false">TAN(RADIANS(R115/2))*TAN(RADIANS(R115/2))</f>
        <v>0.0430304338829127</v>
      </c>
      <c r="V115" s="0" t="n">
        <f aca="false">4*DEGREES(U115*SIN(2*RADIANS(I115))-2*K115*SIN(RADIANS(J115))+4*K115*U115*SIN(RADIANS(J115))*COS(2*RADIANS(I115))-0.5*U115*U115*SIN(4*RADIANS(I115))-1.25*K115*K115*SIN(2*RADIANS(J115)))</f>
        <v>14.1771592355101</v>
      </c>
      <c r="W115" s="0" t="n">
        <f aca="false">DEGREES(ACOS(COS(RADIANS(90.833))/(COS(RADIANS($B$3))*COS(RADIANS(T115)))-TAN(RADIANS($B$3))*TAN(RADIANS(T115))))</f>
        <v>43.6098041744688</v>
      </c>
      <c r="X115" s="7" t="n">
        <f aca="false">(720-4*$B$4-V115+$B$5*60)/1440</f>
        <v>0.499890861642007</v>
      </c>
      <c r="Y115" s="7" t="n">
        <f aca="false">X115-W115*4/1440</f>
        <v>0.378752516712927</v>
      </c>
      <c r="Z115" s="7" t="n">
        <f aca="false">X115+W115*4/1440</f>
        <v>0.621029206571087</v>
      </c>
      <c r="AA115" s="10" t="n">
        <f aca="false">8*W115</f>
        <v>348.87843339575</v>
      </c>
      <c r="AB115" s="0" t="n">
        <f aca="false">MOD(E115*1440+V115+4*$B$4-60*$B$5,1440)</f>
        <v>684.157159235509</v>
      </c>
      <c r="AC115" s="0" t="n">
        <f aca="false">IF(AB115/4&lt;0,AB115/4+180,AB115/4-180)</f>
        <v>-8.96071019112264</v>
      </c>
      <c r="AD115" s="0" t="n">
        <f aca="false">DEGREES(ACOS(SIN(RADIANS($B$3))*SIN(RADIANS(T115))+COS(RADIANS($B$3))*COS(RADIANS(T115))*COS(RADIANS(AC115))))</f>
        <v>84.7027245289038</v>
      </c>
      <c r="AE115" s="0" t="n">
        <f aca="false">90-AD115</f>
        <v>5.29727547109624</v>
      </c>
      <c r="AF115" s="0" t="n">
        <f aca="false">IF(AE115&gt;85,0,IF(AE115&gt;5,58.1/TAN(RADIANS(AE115))-0.07/POWER(TAN(RADIANS(AE115)),3)+0.000086/POWER(TAN(RADIANS(AE115)),5),IF(AE115&gt;-0.575,1735+AE115*(-518.2+AE115*(103.4+AE115*(-12.79+AE115*0.711))),-20.772/TAN(RADIANS(AE115)))))/3600</f>
        <v>0.1531539168466</v>
      </c>
      <c r="AG115" s="0" t="n">
        <f aca="false">AE115+AF115</f>
        <v>5.45042938794284</v>
      </c>
      <c r="AH115" s="0" t="n">
        <f aca="false">IF(AC115&gt;0,MOD(DEGREES(ACOS(((SIN(RADIANS($B$3))*COS(RADIANS(AD115)))-SIN(RADIANS(T115)))/(COS(RADIANS($B$3))*SIN(RADIANS(AD115)))))+180,360),MOD(540-DEGREES(ACOS(((SIN(RADIANS($B$3))*COS(RADIANS(AD115)))-SIN(RADIANS(T115)))/(COS(RADIANS($B$3))*SIN(RADIANS(AD115))))),360))</f>
        <v>171.544786529058</v>
      </c>
    </row>
    <row r="116" customFormat="false" ht="15" hidden="false" customHeight="false" outlineLevel="0" collapsed="false">
      <c r="D116" s="6" t="n">
        <f aca="false">$B$7</f>
        <v>44886</v>
      </c>
      <c r="E116" s="7" t="n">
        <f aca="false">E115+0.1/24</f>
        <v>0.479166666666666</v>
      </c>
      <c r="F116" s="8" t="n">
        <f aca="false">D116+2415018.5+E116-$B$5/24</f>
        <v>2459904.9375</v>
      </c>
      <c r="G116" s="9" t="n">
        <f aca="false">(F116-2451545)/36525</f>
        <v>0.228882614647502</v>
      </c>
      <c r="I116" s="0" t="n">
        <f aca="false">MOD(280.46646+G116*(36000.76983+G116*0.0003032),360)</f>
        <v>240.416803897109</v>
      </c>
      <c r="J116" s="0" t="n">
        <f aca="false">357.52911+G116*(35999.05029-0.0001537*G116)</f>
        <v>8597.08585715018</v>
      </c>
      <c r="K116" s="0" t="n">
        <f aca="false">0.016708634-G116*(0.000042037+0.0000001267*G116)</f>
        <v>0.0166990058240633</v>
      </c>
      <c r="L116" s="0" t="n">
        <f aca="false">SIN(RADIANS(J116))*(1.914602-G116*(0.004817+0.000014*G116))+SIN(RADIANS(2*J116))*(0.019993-0.000101*G116)+SIN(RADIANS(3*J116))*0.000289</f>
        <v>-1.3230468676546</v>
      </c>
      <c r="M116" s="0" t="n">
        <f aca="false">I116+L116</f>
        <v>239.093757029455</v>
      </c>
      <c r="N116" s="0" t="n">
        <f aca="false">J116+L116</f>
        <v>8595.76281028253</v>
      </c>
      <c r="O116" s="0" t="n">
        <f aca="false">(1.000001018*(1-K116*K116))/(1+K116*COS(RADIANS(N116)))</f>
        <v>0.987902758662677</v>
      </c>
      <c r="P116" s="0" t="n">
        <f aca="false">M116-0.00569-0.00478*SIN(RADIANS(125.04-1934.136*G116))</f>
        <v>239.084846952074</v>
      </c>
      <c r="Q116" s="0" t="n">
        <f aca="false">23+(26+((21.448-G116*(46.815+G116*(0.00059-G116*0.001813))))/60)/60</f>
        <v>23.436314680896</v>
      </c>
      <c r="R116" s="0" t="n">
        <f aca="false">Q116+0.00256*COS(RADIANS(125.04-1934.136*G116))</f>
        <v>23.4382066354073</v>
      </c>
      <c r="S116" s="0" t="n">
        <f aca="false">DEGREES(ATAN2(COS(RADIANS(P116)),COS(RADIANS(R116))*SIN(RADIANS(P116))))</f>
        <v>-123.132548358355</v>
      </c>
      <c r="T116" s="0" t="n">
        <f aca="false">DEGREES(ASIN(SIN(RADIANS(R116))*SIN(RADIANS(P116))))</f>
        <v>-19.9530297727523</v>
      </c>
      <c r="U116" s="0" t="n">
        <f aca="false">TAN(RADIANS(R116/2))*TAN(RADIANS(R116/2))</f>
        <v>0.0430304339023893</v>
      </c>
      <c r="V116" s="0" t="n">
        <f aca="false">4*DEGREES(U116*SIN(2*RADIANS(I116))-2*K116*SIN(RADIANS(J116))+4*K116*U116*SIN(RADIANS(J116))*COS(2*RADIANS(I116))-0.5*U116*U116*SIN(4*RADIANS(I116))-1.25*K116*K116*SIN(2*RADIANS(J116)))</f>
        <v>14.1760984687611</v>
      </c>
      <c r="W116" s="0" t="n">
        <f aca="false">DEGREES(ACOS(COS(RADIANS(90.833))/(COS(RADIANS($B$3))*COS(RADIANS(T116)))-TAN(RADIANS($B$3))*TAN(RADIANS(T116))))</f>
        <v>43.6066790903924</v>
      </c>
      <c r="X116" s="7" t="n">
        <f aca="false">(720-4*$B$4-V116+$B$5*60)/1440</f>
        <v>0.499891598285583</v>
      </c>
      <c r="Y116" s="7" t="n">
        <f aca="false">X116-W116*4/1440</f>
        <v>0.378761934145604</v>
      </c>
      <c r="Z116" s="7" t="n">
        <f aca="false">X116+W116*4/1440</f>
        <v>0.621021262425561</v>
      </c>
      <c r="AA116" s="10" t="n">
        <f aca="false">8*W116</f>
        <v>348.853432723139</v>
      </c>
      <c r="AB116" s="0" t="n">
        <f aca="false">MOD(E116*1440+V116+4*$B$4-60*$B$5,1440)</f>
        <v>690.15609846876</v>
      </c>
      <c r="AC116" s="0" t="n">
        <f aca="false">IF(AB116/4&lt;0,AB116/4+180,AB116/4-180)</f>
        <v>-7.46097538280989</v>
      </c>
      <c r="AD116" s="0" t="n">
        <f aca="false">DEGREES(ACOS(SIN(RADIANS($B$3))*SIN(RADIANS(T116))+COS(RADIANS($B$3))*COS(RADIANS(T116))*COS(RADIANS(AC116))))</f>
        <v>84.6164790707801</v>
      </c>
      <c r="AE116" s="0" t="n">
        <f aca="false">90-AD116</f>
        <v>5.3835209292199</v>
      </c>
      <c r="AF116" s="0" t="n">
        <f aca="false">IF(AE116&gt;85,0,IF(AE116&gt;5,58.1/TAN(RADIANS(AE116))-0.07/POWER(TAN(RADIANS(AE116)),3)+0.000086/POWER(TAN(RADIANS(AE116)),5),IF(AE116&gt;-0.575,1735+AE116*(-518.2+AE116*(103.4+AE116*(-12.79+AE116*0.711))),-20.772/TAN(RADIANS(AE116)))))/3600</f>
        <v>0.151237631421371</v>
      </c>
      <c r="AG116" s="0" t="n">
        <f aca="false">AE116+AF116</f>
        <v>5.53475856064127</v>
      </c>
      <c r="AH116" s="0" t="n">
        <f aca="false">IF(AC116&gt;0,MOD(DEGREES(ACOS(((SIN(RADIANS($B$3))*COS(RADIANS(AD116)))-SIN(RADIANS(T116)))/(COS(RADIANS($B$3))*SIN(RADIANS(AD116)))))+180,360),MOD(540-DEGREES(ACOS(((SIN(RADIANS($B$3))*COS(RADIANS(AD116)))-SIN(RADIANS(T116)))/(COS(RADIANS($B$3))*SIN(RADIANS(AD116))))),360))</f>
        <v>172.957989986017</v>
      </c>
    </row>
    <row r="117" customFormat="false" ht="15" hidden="false" customHeight="false" outlineLevel="0" collapsed="false">
      <c r="D117" s="6" t="n">
        <f aca="false">$B$7</f>
        <v>44886</v>
      </c>
      <c r="E117" s="7" t="n">
        <f aca="false">E116+0.1/24</f>
        <v>0.483333333333333</v>
      </c>
      <c r="F117" s="8" t="n">
        <f aca="false">D117+2415018.5+E117-$B$5/24</f>
        <v>2459904.94166667</v>
      </c>
      <c r="G117" s="9" t="n">
        <f aca="false">(F117-2451545)/36525</f>
        <v>0.228882728724624</v>
      </c>
      <c r="I117" s="0" t="n">
        <f aca="false">MOD(280.46646+G117*(36000.76983+G117*0.0003032),360)</f>
        <v>240.420910761339</v>
      </c>
      <c r="J117" s="0" t="n">
        <f aca="false">357.52911+G117*(35999.05029-0.0001537*G117)</f>
        <v>8597.08996381823</v>
      </c>
      <c r="K117" s="0" t="n">
        <f aca="false">0.016708634-G117*(0.000042037+0.0000001267*G117)</f>
        <v>0.0166990058192613</v>
      </c>
      <c r="L117" s="0" t="n">
        <f aca="false">SIN(RADIANS(J117))*(1.914602-G117*(0.004817+0.000014*G117))+SIN(RADIANS(2*J117))*(0.019993-0.000101*G117)+SIN(RADIANS(3*J117))*0.000289</f>
        <v>-1.32294624929737</v>
      </c>
      <c r="M117" s="0" t="n">
        <f aca="false">I117+L117</f>
        <v>239.097964512041</v>
      </c>
      <c r="N117" s="0" t="n">
        <f aca="false">J117+L117</f>
        <v>8595.76701756893</v>
      </c>
      <c r="O117" s="0" t="n">
        <f aca="false">(1.000001018*(1-K117*K117))/(1+K117*COS(RADIANS(N117)))</f>
        <v>0.987901923586885</v>
      </c>
      <c r="P117" s="0" t="n">
        <f aca="false">M117-0.00569-0.00478*SIN(RADIANS(125.04-1934.136*G117))</f>
        <v>239.089054448265</v>
      </c>
      <c r="Q117" s="0" t="n">
        <f aca="false">23+(26+((21.448-G117*(46.815+G117*(0.00059-G117*0.001813))))/60)/60</f>
        <v>23.4363146794125</v>
      </c>
      <c r="R117" s="0" t="n">
        <f aca="false">Q117+0.00256*COS(RADIANS(125.04-1934.136*G117))</f>
        <v>23.4382066405649</v>
      </c>
      <c r="S117" s="0" t="n">
        <f aca="false">DEGREES(ATAN2(COS(RADIANS(P117)),COS(RADIANS(R117))*SIN(RADIANS(P117))))</f>
        <v>-123.128179209684</v>
      </c>
      <c r="T117" s="0" t="n">
        <f aca="false">DEGREES(ASIN(SIN(RADIANS(R117))*SIN(RADIANS(P117))))</f>
        <v>-19.9539444613101</v>
      </c>
      <c r="U117" s="0" t="n">
        <f aca="false">TAN(RADIANS(R117/2))*TAN(RADIANS(R117/2))</f>
        <v>0.0430304339218659</v>
      </c>
      <c r="V117" s="0" t="n">
        <f aca="false">4*DEGREES(U117*SIN(2*RADIANS(I117))-2*K117*SIN(RADIANS(J117))+4*K117*U117*SIN(RADIANS(J117))*COS(2*RADIANS(I117))-0.5*U117*U117*SIN(4*RADIANS(I117))-1.25*K117*K117*SIN(2*RADIANS(J117)))</f>
        <v>14.1750374696842</v>
      </c>
      <c r="W117" s="0" t="n">
        <f aca="false">DEGREES(ACOS(COS(RADIANS(90.833))/(COS(RADIANS($B$3))*COS(RADIANS(T117)))-TAN(RADIANS($B$3))*TAN(RADIANS(T117))))</f>
        <v>43.6035541513707</v>
      </c>
      <c r="X117" s="7" t="n">
        <f aca="false">(720-4*$B$4-V117+$B$5*60)/1440</f>
        <v>0.499892335090497</v>
      </c>
      <c r="Y117" s="7" t="n">
        <f aca="false">X117-W117*4/1440</f>
        <v>0.37877135133669</v>
      </c>
      <c r="Z117" s="7" t="n">
        <f aca="false">X117+W117*4/1440</f>
        <v>0.621013318844305</v>
      </c>
      <c r="AA117" s="10" t="n">
        <f aca="false">8*W117</f>
        <v>348.828433210966</v>
      </c>
      <c r="AB117" s="0" t="n">
        <f aca="false">MOD(E117*1440+V117+4*$B$4-60*$B$5,1440)</f>
        <v>696.155037469684</v>
      </c>
      <c r="AC117" s="0" t="n">
        <f aca="false">IF(AB117/4&lt;0,AB117/4+180,AB117/4-180)</f>
        <v>-5.96124063257912</v>
      </c>
      <c r="AD117" s="0" t="n">
        <f aca="false">DEGREES(ACOS(SIN(RADIANS($B$3))*SIN(RADIANS(T117))+COS(RADIANS($B$3))*COS(RADIANS(T117))*COS(RADIANS(AC117))))</f>
        <v>84.5460640001277</v>
      </c>
      <c r="AE117" s="0" t="n">
        <f aca="false">90-AD117</f>
        <v>5.45393599987229</v>
      </c>
      <c r="AF117" s="0" t="n">
        <f aca="false">IF(AE117&gt;85,0,IF(AE117&gt;5,58.1/TAN(RADIANS(AE117))-0.07/POWER(TAN(RADIANS(AE117)),3)+0.000086/POWER(TAN(RADIANS(AE117)),5),IF(AE117&gt;-0.575,1735+AE117*(-518.2+AE117*(103.4+AE117*(-12.79+AE117*0.711))),-20.772/TAN(RADIANS(AE117)))))/3600</f>
        <v>0.149703579997193</v>
      </c>
      <c r="AG117" s="0" t="n">
        <f aca="false">AE117+AF117</f>
        <v>5.60363957986948</v>
      </c>
      <c r="AH117" s="0" t="n">
        <f aca="false">IF(AC117&gt;0,MOD(DEGREES(ACOS(((SIN(RADIANS($B$3))*COS(RADIANS(AD117)))-SIN(RADIANS(T117)))/(COS(RADIANS($B$3))*SIN(RADIANS(AD117)))))+180,360),MOD(540-DEGREES(ACOS(((SIN(RADIANS($B$3))*COS(RADIANS(AD117)))-SIN(RADIANS(T117)))/(COS(RADIANS($B$3))*SIN(RADIANS(AD117))))),360))</f>
        <v>174.372252022813</v>
      </c>
    </row>
    <row r="118" customFormat="false" ht="15" hidden="false" customHeight="false" outlineLevel="0" collapsed="false">
      <c r="D118" s="6" t="n">
        <f aca="false">$B$7</f>
        <v>44886</v>
      </c>
      <c r="E118" s="7" t="n">
        <f aca="false">E117+0.1/24</f>
        <v>0.4875</v>
      </c>
      <c r="F118" s="8" t="n">
        <f aca="false">D118+2415018.5+E118-$B$5/24</f>
        <v>2459904.94583333</v>
      </c>
      <c r="G118" s="9" t="n">
        <f aca="false">(F118-2451545)/36525</f>
        <v>0.228882842801733</v>
      </c>
      <c r="I118" s="0" t="n">
        <f aca="false">MOD(280.46646+G118*(36000.76983+G118*0.0003032),360)</f>
        <v>240.425017625112</v>
      </c>
      <c r="J118" s="0" t="n">
        <f aca="false">357.52911+G118*(35999.05029-0.0001537*G118)</f>
        <v>8597.09407048582</v>
      </c>
      <c r="K118" s="0" t="n">
        <f aca="false">0.016708634-G118*(0.000042037+0.0000001267*G118)</f>
        <v>0.0166990058144592</v>
      </c>
      <c r="L118" s="0" t="n">
        <f aca="false">SIN(RADIANS(J118))*(1.914602-G118*(0.004817+0.000014*G118))+SIN(RADIANS(2*J118))*(0.019993-0.000101*G118)+SIN(RADIANS(3*J118))*0.000289</f>
        <v>-1.32284562383879</v>
      </c>
      <c r="M118" s="0" t="n">
        <f aca="false">I118+L118</f>
        <v>239.102172001273</v>
      </c>
      <c r="N118" s="0" t="n">
        <f aca="false">J118+L118</f>
        <v>8595.77122486198</v>
      </c>
      <c r="O118" s="0" t="n">
        <f aca="false">(1.000001018*(1-K118*K118))/(1+K118*COS(RADIANS(N118)))</f>
        <v>0.987901088574169</v>
      </c>
      <c r="P118" s="0" t="n">
        <f aca="false">M118-0.00569-0.00478*SIN(RADIANS(125.04-1934.136*G118))</f>
        <v>239.0932619511</v>
      </c>
      <c r="Q118" s="0" t="n">
        <f aca="false">23+(26+((21.448-G118*(46.815+G118*(0.00059-G118*0.001813))))/60)/60</f>
        <v>23.4363146779291</v>
      </c>
      <c r="R118" s="0" t="n">
        <f aca="false">Q118+0.00256*COS(RADIANS(125.04-1934.136*G118))</f>
        <v>23.4382066457225</v>
      </c>
      <c r="S118" s="0" t="n">
        <f aca="false">DEGREES(ATAN2(COS(RADIANS(P118)),COS(RADIANS(R118))*SIN(RADIANS(P118))))</f>
        <v>-123.123810003468</v>
      </c>
      <c r="T118" s="0" t="n">
        <f aca="false">DEGREES(ASIN(SIN(RADIANS(R118))*SIN(RADIANS(P118))))</f>
        <v>-19.9548590444365</v>
      </c>
      <c r="U118" s="0" t="n">
        <f aca="false">TAN(RADIANS(R118/2))*TAN(RADIANS(R118/2))</f>
        <v>0.0430304339413424</v>
      </c>
      <c r="V118" s="0" t="n">
        <f aca="false">4*DEGREES(U118*SIN(2*RADIANS(I118))-2*K118*SIN(RADIANS(J118))+4*K118*U118*SIN(RADIANS(J118))*COS(2*RADIANS(I118))-0.5*U118*U118*SIN(4*RADIANS(I118))-1.25*K118*K118*SIN(2*RADIANS(J118)))</f>
        <v>14.1739762385295</v>
      </c>
      <c r="W118" s="0" t="n">
        <f aca="false">DEGREES(ACOS(COS(RADIANS(90.833))/(COS(RADIANS($B$3))*COS(RADIANS(T118)))-TAN(RADIANS($B$3))*TAN(RADIANS(T118))))</f>
        <v>43.6004293581505</v>
      </c>
      <c r="X118" s="7" t="n">
        <f aca="false">(720-4*$B$4-V118+$B$5*60)/1440</f>
        <v>0.499893072056577</v>
      </c>
      <c r="Y118" s="7" t="n">
        <f aca="false">X118-W118*4/1440</f>
        <v>0.378780768283937</v>
      </c>
      <c r="Z118" s="7" t="n">
        <f aca="false">X118+W118*4/1440</f>
        <v>0.621005375829217</v>
      </c>
      <c r="AA118" s="10" t="n">
        <f aca="false">8*W118</f>
        <v>348.803434865204</v>
      </c>
      <c r="AB118" s="0" t="n">
        <f aca="false">MOD(E118*1440+V118+4*$B$4-60*$B$5,1440)</f>
        <v>702.153976238529</v>
      </c>
      <c r="AC118" s="0" t="n">
        <f aca="false">IF(AB118/4&lt;0,AB118/4+180,AB118/4-180)</f>
        <v>-4.4615059403678</v>
      </c>
      <c r="AD118" s="0" t="n">
        <f aca="false">DEGREES(ACOS(SIN(RADIANS($B$3))*SIN(RADIANS(T118))+COS(RADIANS($B$3))*COS(RADIANS(T118))*COS(RADIANS(AC118))))</f>
        <v>84.4915333367807</v>
      </c>
      <c r="AE118" s="0" t="n">
        <f aca="false">90-AD118</f>
        <v>5.5084666632193</v>
      </c>
      <c r="AF118" s="0" t="n">
        <f aca="false">IF(AE118&gt;85,0,IF(AE118&gt;5,58.1/TAN(RADIANS(AE118))-0.07/POWER(TAN(RADIANS(AE118)),3)+0.000086/POWER(TAN(RADIANS(AE118)),5),IF(AE118&gt;-0.575,1735+AE118*(-518.2+AE118*(103.4+AE118*(-12.79+AE118*0.711))),-20.772/TAN(RADIANS(AE118)))))/3600</f>
        <v>0.148533956965096</v>
      </c>
      <c r="AG118" s="0" t="n">
        <f aca="false">AE118+AF118</f>
        <v>5.65700062018439</v>
      </c>
      <c r="AH118" s="0" t="n">
        <f aca="false">IF(AC118&gt;0,MOD(DEGREES(ACOS(((SIN(RADIANS($B$3))*COS(RADIANS(AD118)))-SIN(RADIANS(T118)))/(COS(RADIANS($B$3))*SIN(RADIANS(AD118)))))+180,360),MOD(540-DEGREES(ACOS(((SIN(RADIANS($B$3))*COS(RADIANS(AD118)))-SIN(RADIANS(T118)))/(COS(RADIANS($B$3))*SIN(RADIANS(AD118))))),360))</f>
        <v>175.78736077294</v>
      </c>
    </row>
    <row r="119" customFormat="false" ht="15" hidden="false" customHeight="false" outlineLevel="0" collapsed="false">
      <c r="D119" s="6" t="n">
        <f aca="false">$B$7</f>
        <v>44886</v>
      </c>
      <c r="E119" s="7" t="n">
        <f aca="false">E118+0.1/24</f>
        <v>0.491666666666666</v>
      </c>
      <c r="F119" s="8" t="n">
        <f aca="false">D119+2415018.5+E119-$B$5/24</f>
        <v>2459904.95</v>
      </c>
      <c r="G119" s="9" t="n">
        <f aca="false">(F119-2451545)/36525</f>
        <v>0.228882956878855</v>
      </c>
      <c r="I119" s="0" t="n">
        <f aca="false">MOD(280.46646+G119*(36000.76983+G119*0.0003032),360)</f>
        <v>240.429124489343</v>
      </c>
      <c r="J119" s="0" t="n">
        <f aca="false">357.52911+G119*(35999.05029-0.0001537*G119)</f>
        <v>8597.09817715387</v>
      </c>
      <c r="K119" s="0" t="n">
        <f aca="false">0.016708634-G119*(0.000042037+0.0000001267*G119)</f>
        <v>0.0166990058096571</v>
      </c>
      <c r="L119" s="0" t="n">
        <f aca="false">SIN(RADIANS(J119))*(1.914602-G119*(0.004817+0.000014*G119))+SIN(RADIANS(2*J119))*(0.019993-0.000101*G119)+SIN(RADIANS(3*J119))*0.000289</f>
        <v>-1.32274499125704</v>
      </c>
      <c r="M119" s="0" t="n">
        <f aca="false">I119+L119</f>
        <v>239.106379498086</v>
      </c>
      <c r="N119" s="0" t="n">
        <f aca="false">J119+L119</f>
        <v>8595.77543216261</v>
      </c>
      <c r="O119" s="0" t="n">
        <f aca="false">(1.000001018*(1-K119*K119))/(1+K119*COS(RADIANS(N119)))</f>
        <v>0.987900253624348</v>
      </c>
      <c r="P119" s="0" t="n">
        <f aca="false">M119-0.00569-0.00478*SIN(RADIANS(125.04-1934.136*G119))</f>
        <v>239.097469461517</v>
      </c>
      <c r="Q119" s="0" t="n">
        <f aca="false">23+(26+((21.448-G119*(46.815+G119*(0.00059-G119*0.001813))))/60)/60</f>
        <v>23.4363146764456</v>
      </c>
      <c r="R119" s="0" t="n">
        <f aca="false">Q119+0.00256*COS(RADIANS(125.04-1934.136*G119))</f>
        <v>23.4382066508801</v>
      </c>
      <c r="S119" s="0" t="n">
        <f aca="false">DEGREES(ATAN2(COS(RADIANS(P119)),COS(RADIANS(R119))*SIN(RADIANS(P119))))</f>
        <v>-123.119440738737</v>
      </c>
      <c r="T119" s="0" t="n">
        <f aca="false">DEGREES(ASIN(SIN(RADIANS(R119))*SIN(RADIANS(P119))))</f>
        <v>-19.9557735223281</v>
      </c>
      <c r="U119" s="0" t="n">
        <f aca="false">TAN(RADIANS(R119/2))*TAN(RADIANS(R119/2))</f>
        <v>0.0430304339608187</v>
      </c>
      <c r="V119" s="0" t="n">
        <f aca="false">4*DEGREES(U119*SIN(2*RADIANS(I119))-2*K119*SIN(RADIANS(J119))+4*K119*U119*SIN(RADIANS(J119))*COS(2*RADIANS(I119))-0.5*U119*U119*SIN(4*RADIANS(I119))-1.25*K119*K119*SIN(2*RADIANS(J119)))</f>
        <v>14.1729147750746</v>
      </c>
      <c r="W119" s="0" t="n">
        <f aca="false">DEGREES(ACOS(COS(RADIANS(90.833))/(COS(RADIANS($B$3))*COS(RADIANS(T119)))-TAN(RADIANS($B$3))*TAN(RADIANS(T119))))</f>
        <v>43.5973047100859</v>
      </c>
      <c r="X119" s="7" t="n">
        <f aca="false">(720-4*$B$4-V119+$B$5*60)/1440</f>
        <v>0.499893809183976</v>
      </c>
      <c r="Y119" s="7" t="n">
        <f aca="false">X119-W119*4/1440</f>
        <v>0.378790184989293</v>
      </c>
      <c r="Z119" s="7" t="n">
        <f aca="false">X119+W119*4/1440</f>
        <v>0.620997433378659</v>
      </c>
      <c r="AA119" s="10" t="n">
        <f aca="false">8*W119</f>
        <v>348.778437680687</v>
      </c>
      <c r="AB119" s="0" t="n">
        <f aca="false">MOD(E119*1440+V119+4*$B$4-60*$B$5,1440)</f>
        <v>708.152914775074</v>
      </c>
      <c r="AC119" s="0" t="n">
        <f aca="false">IF(AB119/4&lt;0,AB119/4+180,AB119/4-180)</f>
        <v>-2.96177130623153</v>
      </c>
      <c r="AD119" s="0" t="n">
        <f aca="false">DEGREES(ACOS(SIN(RADIANS($B$3))*SIN(RADIANS(T119))+COS(RADIANS($B$3))*COS(RADIANS(T119))*COS(RADIANS(AC119))))</f>
        <v>84.4529290888719</v>
      </c>
      <c r="AE119" s="0" t="n">
        <f aca="false">90-AD119</f>
        <v>5.5470709111281</v>
      </c>
      <c r="AF119" s="0" t="n">
        <f aca="false">IF(AE119&gt;85,0,IF(AE119&gt;5,58.1/TAN(RADIANS(AE119))-0.07/POWER(TAN(RADIANS(AE119)),3)+0.000086/POWER(TAN(RADIANS(AE119)),5),IF(AE119&gt;-0.575,1735+AE119*(-518.2+AE119*(103.4+AE119*(-12.79+AE119*0.711))),-20.772/TAN(RADIANS(AE119)))))/3600</f>
        <v>0.147715451574026</v>
      </c>
      <c r="AG119" s="0" t="n">
        <f aca="false">AE119+AF119</f>
        <v>5.69478636270213</v>
      </c>
      <c r="AH119" s="0" t="n">
        <f aca="false">IF(AC119&gt;0,MOD(DEGREES(ACOS(((SIN(RADIANS($B$3))*COS(RADIANS(AD119)))-SIN(RADIANS(T119)))/(COS(RADIANS($B$3))*SIN(RADIANS(AD119)))))+180,360),MOD(540-DEGREES(ACOS(((SIN(RADIANS($B$3))*COS(RADIANS(AD119)))-SIN(RADIANS(T119)))/(COS(RADIANS($B$3))*SIN(RADIANS(AD119))))),360))</f>
        <v>177.203100940849</v>
      </c>
    </row>
    <row r="120" customFormat="false" ht="15" hidden="false" customHeight="false" outlineLevel="0" collapsed="false">
      <c r="D120" s="6" t="n">
        <f aca="false">$B$7</f>
        <v>44886</v>
      </c>
      <c r="E120" s="7" t="n">
        <f aca="false">E119+0.1/24</f>
        <v>0.495833333333333</v>
      </c>
      <c r="F120" s="8" t="n">
        <f aca="false">D120+2415018.5+E120-$B$5/24</f>
        <v>2459904.95416667</v>
      </c>
      <c r="G120" s="9" t="n">
        <f aca="false">(F120-2451545)/36525</f>
        <v>0.228883070955965</v>
      </c>
      <c r="I120" s="0" t="n">
        <f aca="false">MOD(280.46646+G120*(36000.76983+G120*0.0003032),360)</f>
        <v>240.433231353114</v>
      </c>
      <c r="J120" s="0" t="n">
        <f aca="false">357.52911+G120*(35999.05029-0.0001537*G120)</f>
        <v>8597.10228382145</v>
      </c>
      <c r="K120" s="0" t="n">
        <f aca="false">0.016708634-G120*(0.000042037+0.0000001267*G120)</f>
        <v>0.016699005804855</v>
      </c>
      <c r="L120" s="0" t="n">
        <f aca="false">SIN(RADIANS(J120))*(1.914602-G120*(0.004817+0.000014*G120))+SIN(RADIANS(2*J120))*(0.019993-0.000101*G120)+SIN(RADIANS(3*J120))*0.000289</f>
        <v>-1.32264435157503</v>
      </c>
      <c r="M120" s="0" t="n">
        <f aca="false">I120+L120</f>
        <v>239.110587001539</v>
      </c>
      <c r="N120" s="0" t="n">
        <f aca="false">J120+L120</f>
        <v>8595.77963946988</v>
      </c>
      <c r="O120" s="0" t="n">
        <f aca="false">(1.000001018*(1-K120*K120))/(1+K120*COS(RADIANS(N120)))</f>
        <v>0.987899418737612</v>
      </c>
      <c r="P120" s="0" t="n">
        <f aca="false">M120-0.00569-0.00478*SIN(RADIANS(125.04-1934.136*G120))</f>
        <v>239.101676978574</v>
      </c>
      <c r="Q120" s="0" t="n">
        <f aca="false">23+(26+((21.448-G120*(46.815+G120*(0.00059-G120*0.001813))))/60)/60</f>
        <v>23.4363146749621</v>
      </c>
      <c r="R120" s="0" t="n">
        <f aca="false">Q120+0.00256*COS(RADIANS(125.04-1934.136*G120))</f>
        <v>23.4382066560376</v>
      </c>
      <c r="S120" s="0" t="n">
        <f aca="false">DEGREES(ATAN2(COS(RADIANS(P120)),COS(RADIANS(R120))*SIN(RADIANS(P120))))</f>
        <v>-123.115071416471</v>
      </c>
      <c r="T120" s="0" t="n">
        <f aca="false">DEGREES(ASIN(SIN(RADIANS(R120))*SIN(RADIANS(P120))))</f>
        <v>-19.9566878947732</v>
      </c>
      <c r="U120" s="0" t="n">
        <f aca="false">TAN(RADIANS(R120/2))*TAN(RADIANS(R120/2))</f>
        <v>0.043030433980295</v>
      </c>
      <c r="V120" s="0" t="n">
        <f aca="false">4*DEGREES(U120*SIN(2*RADIANS(I120))-2*K120*SIN(RADIANS(J120))+4*K120*U120*SIN(RADIANS(J120))*COS(2*RADIANS(I120))-0.5*U120*U120*SIN(4*RADIANS(I120))-1.25*K120*K120*SIN(2*RADIANS(J120)))</f>
        <v>14.1718530795704</v>
      </c>
      <c r="W120" s="0" t="n">
        <f aca="false">DEGREES(ACOS(COS(RADIANS(90.833))/(COS(RADIANS($B$3))*COS(RADIANS(T120)))-TAN(RADIANS($B$3))*TAN(RADIANS(T120))))</f>
        <v>43.594180207926</v>
      </c>
      <c r="X120" s="7" t="n">
        <f aca="false">(720-4*$B$4-V120+$B$5*60)/1440</f>
        <v>0.499894546472521</v>
      </c>
      <c r="Y120" s="7" t="n">
        <f aca="false">X120-W120*4/1440</f>
        <v>0.378799601450504</v>
      </c>
      <c r="Z120" s="7" t="n">
        <f aca="false">X120+W120*4/1440</f>
        <v>0.620989491494537</v>
      </c>
      <c r="AA120" s="10" t="n">
        <f aca="false">8*W120</f>
        <v>348.753441663408</v>
      </c>
      <c r="AB120" s="0" t="n">
        <f aca="false">MOD(E120*1440+V120+4*$B$4-60*$B$5,1440)</f>
        <v>714.15185307957</v>
      </c>
      <c r="AC120" s="0" t="n">
        <f aca="false">IF(AB120/4&lt;0,AB120/4+180,AB120/4-180)</f>
        <v>-1.4620367301076</v>
      </c>
      <c r="AD120" s="0" t="n">
        <f aca="false">DEGREES(ACOS(SIN(RADIANS($B$3))*SIN(RADIANS(T120))+COS(RADIANS($B$3))*COS(RADIANS(T120))*COS(RADIANS(AC120))))</f>
        <v>84.4302811470615</v>
      </c>
      <c r="AE120" s="0" t="n">
        <f aca="false">90-AD120</f>
        <v>5.56971885293849</v>
      </c>
      <c r="AF120" s="0" t="n">
        <f aca="false">IF(AE120&gt;85,0,IF(AE120&gt;5,58.1/TAN(RADIANS(AE120))-0.07/POWER(TAN(RADIANS(AE120)),3)+0.000086/POWER(TAN(RADIANS(AE120)),5),IF(AE120&gt;-0.575,1735+AE120*(-518.2+AE120*(103.4+AE120*(-12.79+AE120*0.711))),-20.772/TAN(RADIANS(AE120)))))/3600</f>
        <v>0.147238881612822</v>
      </c>
      <c r="AG120" s="0" t="n">
        <f aca="false">AE120+AF120</f>
        <v>5.71695773455132</v>
      </c>
      <c r="AH120" s="0" t="n">
        <f aca="false">IF(AC120&gt;0,MOD(DEGREES(ACOS(((SIN(RADIANS($B$3))*COS(RADIANS(AD120)))-SIN(RADIANS(T120)))/(COS(RADIANS($B$3))*SIN(RADIANS(AD120)))))+180,360),MOD(540-DEGREES(ACOS(((SIN(RADIANS($B$3))*COS(RADIANS(AD120)))-SIN(RADIANS(T120)))/(COS(RADIANS($B$3))*SIN(RADIANS(AD120))))),360))</f>
        <v>178.619254657869</v>
      </c>
    </row>
    <row r="121" customFormat="false" ht="15" hidden="false" customHeight="false" outlineLevel="0" collapsed="false">
      <c r="D121" s="6" t="n">
        <f aca="false">$B$7</f>
        <v>44886</v>
      </c>
      <c r="E121" s="7" t="n">
        <f aca="false">E120+0.1/24</f>
        <v>0.499999999999999</v>
      </c>
      <c r="F121" s="8" t="n">
        <f aca="false">D121+2415018.5+E121-$B$5/24</f>
        <v>2459904.95833333</v>
      </c>
      <c r="G121" s="9" t="n">
        <f aca="false">(F121-2451545)/36525</f>
        <v>0.228883185033087</v>
      </c>
      <c r="I121" s="0" t="n">
        <f aca="false">MOD(280.46646+G121*(36000.76983+G121*0.0003032),360)</f>
        <v>240.437338217345</v>
      </c>
      <c r="J121" s="0" t="n">
        <f aca="false">357.52911+G121*(35999.05029-0.0001537*G121)</f>
        <v>8597.1063904895</v>
      </c>
      <c r="K121" s="0" t="n">
        <f aca="false">0.016708634-G121*(0.000042037+0.0000001267*G121)</f>
        <v>0.0166990058000529</v>
      </c>
      <c r="L121" s="0" t="n">
        <f aca="false">SIN(RADIANS(J121))*(1.914602-G121*(0.004817+0.000014*G121))+SIN(RADIANS(2*J121))*(0.019993-0.000101*G121)+SIN(RADIANS(3*J121))*0.000289</f>
        <v>-1.32254370477079</v>
      </c>
      <c r="M121" s="0" t="n">
        <f aca="false">I121+L121</f>
        <v>239.114794512575</v>
      </c>
      <c r="N121" s="0" t="n">
        <f aca="false">J121+L121</f>
        <v>8595.78384678473</v>
      </c>
      <c r="O121" s="0" t="n">
        <f aca="false">(1.000001018*(1-K121*K121))/(1+K121*COS(RADIANS(N121)))</f>
        <v>0.987898583913781</v>
      </c>
      <c r="P121" s="0" t="n">
        <f aca="false">M121-0.00569-0.00478*SIN(RADIANS(125.04-1934.136*G121))</f>
        <v>239.105884503214</v>
      </c>
      <c r="Q121" s="0" t="n">
        <f aca="false">23+(26+((21.448-G121*(46.815+G121*(0.00059-G121*0.001813))))/60)/60</f>
        <v>23.4363146734786</v>
      </c>
      <c r="R121" s="0" t="n">
        <f aca="false">Q121+0.00256*COS(RADIANS(125.04-1934.136*G121))</f>
        <v>23.4382066611952</v>
      </c>
      <c r="S121" s="0" t="n">
        <f aca="false">DEGREES(ATAN2(COS(RADIANS(P121)),COS(RADIANS(R121))*SIN(RADIANS(P121))))</f>
        <v>-123.110702035695</v>
      </c>
      <c r="T121" s="0" t="n">
        <f aca="false">DEGREES(ASIN(SIN(RADIANS(R121))*SIN(RADIANS(P121))))</f>
        <v>-19.9576021619694</v>
      </c>
      <c r="U121" s="0" t="n">
        <f aca="false">TAN(RADIANS(R121/2))*TAN(RADIANS(R121/2))</f>
        <v>0.0430304339997711</v>
      </c>
      <c r="V121" s="0" t="n">
        <f aca="false">4*DEGREES(U121*SIN(2*RADIANS(I121))-2*K121*SIN(RADIANS(J121))+4*K121*U121*SIN(RADIANS(J121))*COS(2*RADIANS(I121))-0.5*U121*U121*SIN(4*RADIANS(I121))-1.25*K121*K121*SIN(2*RADIANS(J121)))</f>
        <v>14.170791151793</v>
      </c>
      <c r="W121" s="0" t="n">
        <f aca="false">DEGREES(ACOS(COS(RADIANS(90.833))/(COS(RADIANS($B$3))*COS(RADIANS(T121)))-TAN(RADIANS($B$3))*TAN(RADIANS(T121))))</f>
        <v>43.5910558510212</v>
      </c>
      <c r="X121" s="7" t="n">
        <f aca="false">(720-4*$B$4-V121+$B$5*60)/1440</f>
        <v>0.499895283922366</v>
      </c>
      <c r="Y121" s="7" t="n">
        <f aca="false">X121-W121*4/1440</f>
        <v>0.378809017669529</v>
      </c>
      <c r="Z121" s="7" t="n">
        <f aca="false">X121+W121*4/1440</f>
        <v>0.620981550175203</v>
      </c>
      <c r="AA121" s="10" t="n">
        <f aca="false">8*W121</f>
        <v>348.728446808169</v>
      </c>
      <c r="AB121" s="0" t="n">
        <f aca="false">MOD(E121*1440+V121+4*$B$4-60*$B$5,1440)</f>
        <v>720.150791151792</v>
      </c>
      <c r="AC121" s="0" t="n">
        <f aca="false">IF(AB121/4&lt;0,AB121/4+180,AB121/4-180)</f>
        <v>0.0376977879480762</v>
      </c>
      <c r="AD121" s="0" t="n">
        <f aca="false">DEGREES(ACOS(SIN(RADIANS($B$3))*SIN(RADIANS(T121))+COS(RADIANS($B$3))*COS(RADIANS(T121))*COS(RADIANS(AC121))))</f>
        <v>84.4236072105136</v>
      </c>
      <c r="AE121" s="0" t="n">
        <f aca="false">90-AD121</f>
        <v>5.57639278948639</v>
      </c>
      <c r="AF121" s="0" t="n">
        <f aca="false">IF(AE121&gt;85,0,IF(AE121&gt;5,58.1/TAN(RADIANS(AE121))-0.07/POWER(TAN(RADIANS(AE121)),3)+0.000086/POWER(TAN(RADIANS(AE121)),5),IF(AE121&gt;-0.575,1735+AE121*(-518.2+AE121*(103.4+AE121*(-12.79+AE121*0.711))),-20.772/TAN(RADIANS(AE121)))))/3600</f>
        <v>0.147098952178107</v>
      </c>
      <c r="AG121" s="0" t="n">
        <f aca="false">AE121+AF121</f>
        <v>5.7234917416645</v>
      </c>
      <c r="AH121" s="0" t="n">
        <f aca="false">IF(AC121&gt;0,MOD(DEGREES(ACOS(((SIN(RADIANS($B$3))*COS(RADIANS(AD121)))-SIN(RADIANS(T121)))/(COS(RADIANS($B$3))*SIN(RADIANS(AD121)))))+180,360),MOD(540-DEGREES(ACOS(((SIN(RADIANS($B$3))*COS(RADIANS(AD121)))-SIN(RADIANS(T121)))/(COS(RADIANS($B$3))*SIN(RADIANS(AD121))))),360))</f>
        <v>180.035602351364</v>
      </c>
    </row>
    <row r="122" customFormat="false" ht="15" hidden="false" customHeight="false" outlineLevel="0" collapsed="false">
      <c r="D122" s="6" t="n">
        <f aca="false">$B$7</f>
        <v>44886</v>
      </c>
      <c r="E122" s="7" t="n">
        <f aca="false">E121+0.1/24</f>
        <v>0.504166666666666</v>
      </c>
      <c r="F122" s="8" t="n">
        <f aca="false">D122+2415018.5+E122-$B$5/24</f>
        <v>2459904.9625</v>
      </c>
      <c r="G122" s="9" t="n">
        <f aca="false">(F122-2451545)/36525</f>
        <v>0.228883299110209</v>
      </c>
      <c r="I122" s="0" t="n">
        <f aca="false">MOD(280.46646+G122*(36000.76983+G122*0.0003032),360)</f>
        <v>240.441445081575</v>
      </c>
      <c r="J122" s="0" t="n">
        <f aca="false">357.52911+G122*(35999.05029-0.0001537*G122)</f>
        <v>8597.11049715755</v>
      </c>
      <c r="K122" s="0" t="n">
        <f aca="false">0.016708634-G122*(0.000042037+0.0000001267*G122)</f>
        <v>0.0166990057952509</v>
      </c>
      <c r="L122" s="0" t="n">
        <f aca="false">SIN(RADIANS(J122))*(1.914602-G122*(0.004817+0.000014*G122))+SIN(RADIANS(2*J122))*(0.019993-0.000101*G122)+SIN(RADIANS(3*J122))*0.000289</f>
        <v>-1.32244305085612</v>
      </c>
      <c r="M122" s="0" t="n">
        <f aca="false">I122+L122</f>
        <v>239.119002030719</v>
      </c>
      <c r="N122" s="0" t="n">
        <f aca="false">J122+L122</f>
        <v>8595.78805410669</v>
      </c>
      <c r="O122" s="0" t="n">
        <f aca="false">(1.000001018*(1-K122*K122))/(1+K122*COS(RADIANS(N122)))</f>
        <v>0.98789774915295</v>
      </c>
      <c r="P122" s="0" t="n">
        <f aca="false">M122-0.00569-0.00478*SIN(RADIANS(125.04-1934.136*G122))</f>
        <v>239.110092034962</v>
      </c>
      <c r="Q122" s="0" t="n">
        <f aca="false">23+(26+((21.448-G122*(46.815+G122*(0.00059-G122*0.001813))))/60)/60</f>
        <v>23.4363146719951</v>
      </c>
      <c r="R122" s="0" t="n">
        <f aca="false">Q122+0.00256*COS(RADIANS(125.04-1934.136*G122))</f>
        <v>23.4382066663527</v>
      </c>
      <c r="S122" s="0" t="n">
        <f aca="false">DEGREES(ATAN2(COS(RADIANS(P122)),COS(RADIANS(R122))*SIN(RADIANS(P122))))</f>
        <v>-123.106332596902</v>
      </c>
      <c r="T122" s="0" t="n">
        <f aca="false">DEGREES(ASIN(SIN(RADIANS(R122))*SIN(RADIANS(P122))))</f>
        <v>-19.9585163238068</v>
      </c>
      <c r="U122" s="0" t="n">
        <f aca="false">TAN(RADIANS(R122/2))*TAN(RADIANS(R122/2))</f>
        <v>0.0430304340192471</v>
      </c>
      <c r="V122" s="0" t="n">
        <f aca="false">4*DEGREES(U122*SIN(2*RADIANS(I122))-2*K122*SIN(RADIANS(J122))+4*K122*U122*SIN(RADIANS(J122))*COS(2*RADIANS(I122))-0.5*U122*U122*SIN(4*RADIANS(I122))-1.25*K122*K122*SIN(2*RADIANS(J122)))</f>
        <v>14.1697289918754</v>
      </c>
      <c r="W122" s="0" t="n">
        <f aca="false">DEGREES(ACOS(COS(RADIANS(90.833))/(COS(RADIANS($B$3))*COS(RADIANS(T122)))-TAN(RADIANS($B$3))*TAN(RADIANS(T122))))</f>
        <v>43.5879316397733</v>
      </c>
      <c r="X122" s="7" t="n">
        <f aca="false">(720-4*$B$4-V122+$B$5*60)/1440</f>
        <v>0.49989602153342</v>
      </c>
      <c r="Y122" s="7" t="n">
        <f aca="false">X122-W122*4/1440</f>
        <v>0.378818433645161</v>
      </c>
      <c r="Z122" s="7" t="n">
        <f aca="false">X122+W122*4/1440</f>
        <v>0.620973609421679</v>
      </c>
      <c r="AA122" s="10" t="n">
        <f aca="false">8*W122</f>
        <v>348.703453118187</v>
      </c>
      <c r="AB122" s="0" t="n">
        <f aca="false">MOD(E122*1440+V122+4*$B$4-60*$B$5,1440)</f>
        <v>726.149728991875</v>
      </c>
      <c r="AC122" s="0" t="n">
        <f aca="false">IF(AB122/4&lt;0,AB122/4+180,AB122/4-180)</f>
        <v>1.53743224796867</v>
      </c>
      <c r="AD122" s="0" t="n">
        <f aca="false">DEGREES(ACOS(SIN(RADIANS($B$3))*SIN(RADIANS(T122))+COS(RADIANS($B$3))*COS(RADIANS(T122))*COS(RADIANS(AC122))))</f>
        <v>84.4329127419905</v>
      </c>
      <c r="AE122" s="0" t="n">
        <f aca="false">90-AD122</f>
        <v>5.56708725800949</v>
      </c>
      <c r="AF122" s="0" t="n">
        <f aca="false">IF(AE122&gt;85,0,IF(AE122&gt;5,58.1/TAN(RADIANS(AE122))-0.07/POWER(TAN(RADIANS(AE122)),3)+0.000086/POWER(TAN(RADIANS(AE122)),5),IF(AE122&gt;-0.575,1735+AE122*(-518.2+AE122*(103.4+AE122*(-12.79+AE122*0.711))),-20.772/TAN(RADIANS(AE122)))))/3600</f>
        <v>0.147294120392837</v>
      </c>
      <c r="AG122" s="0" t="n">
        <f aca="false">AE122+AF122</f>
        <v>5.71438137840233</v>
      </c>
      <c r="AH122" s="0" t="n">
        <f aca="false">IF(AC122&gt;0,MOD(DEGREES(ACOS(((SIN(RADIANS($B$3))*COS(RADIANS(AD122)))-SIN(RADIANS(T122)))/(COS(RADIANS($B$3))*SIN(RADIANS(AD122)))))+180,360),MOD(540-DEGREES(ACOS(((SIN(RADIANS($B$3))*COS(RADIANS(AD122)))-SIN(RADIANS(T122)))/(COS(RADIANS($B$3))*SIN(RADIANS(AD122))))),360))</f>
        <v>181.451923623632</v>
      </c>
    </row>
    <row r="123" customFormat="false" ht="15" hidden="false" customHeight="false" outlineLevel="0" collapsed="false">
      <c r="D123" s="6" t="n">
        <f aca="false">$B$7</f>
        <v>44886</v>
      </c>
      <c r="E123" s="7" t="n">
        <f aca="false">E122+0.1/24</f>
        <v>0.508333333333333</v>
      </c>
      <c r="F123" s="8" t="n">
        <f aca="false">D123+2415018.5+E123-$B$5/24</f>
        <v>2459904.96666667</v>
      </c>
      <c r="G123" s="9" t="n">
        <f aca="false">(F123-2451545)/36525</f>
        <v>0.228883413187318</v>
      </c>
      <c r="I123" s="0" t="n">
        <f aca="false">MOD(280.46646+G123*(36000.76983+G123*0.0003032),360)</f>
        <v>240.445551945348</v>
      </c>
      <c r="J123" s="0" t="n">
        <f aca="false">357.52911+G123*(35999.05029-0.0001537*G123)</f>
        <v>8597.11460382513</v>
      </c>
      <c r="K123" s="0" t="n">
        <f aca="false">0.016708634-G123*(0.000042037+0.0000001267*G123)</f>
        <v>0.0166990057904488</v>
      </c>
      <c r="L123" s="0" t="n">
        <f aca="false">SIN(RADIANS(J123))*(1.914602-G123*(0.004817+0.000014*G123))+SIN(RADIANS(2*J123))*(0.019993-0.000101*G123)+SIN(RADIANS(3*J123))*0.000289</f>
        <v>-1.32234238984281</v>
      </c>
      <c r="M123" s="0" t="n">
        <f aca="false">I123+L123</f>
        <v>239.123209555505</v>
      </c>
      <c r="N123" s="0" t="n">
        <f aca="false">J123+L123</f>
        <v>8595.79226143529</v>
      </c>
      <c r="O123" s="0" t="n">
        <f aca="false">(1.000001018*(1-K123*K123))/(1+K123*COS(RADIANS(N123)))</f>
        <v>0.98789691445522</v>
      </c>
      <c r="P123" s="0" t="n">
        <f aca="false">M123-0.00569-0.00478*SIN(RADIANS(125.04-1934.136*G123))</f>
        <v>239.114299573353</v>
      </c>
      <c r="Q123" s="0" t="n">
        <f aca="false">23+(26+((21.448-G123*(46.815+G123*(0.00059-G123*0.001813))))/60)/60</f>
        <v>23.4363146705117</v>
      </c>
      <c r="R123" s="0" t="n">
        <f aca="false">Q123+0.00256*COS(RADIANS(125.04-1934.136*G123))</f>
        <v>23.4382066715101</v>
      </c>
      <c r="S123" s="0" t="n">
        <f aca="false">DEGREES(ATAN2(COS(RADIANS(P123)),COS(RADIANS(R123))*SIN(RADIANS(P123))))</f>
        <v>-123.10196310058</v>
      </c>
      <c r="T123" s="0" t="n">
        <f aca="false">DEGREES(ASIN(SIN(RADIANS(R123))*SIN(RADIANS(P123))))</f>
        <v>-19.9594303801767</v>
      </c>
      <c r="U123" s="0" t="n">
        <f aca="false">TAN(RADIANS(R123/2))*TAN(RADIANS(R123/2))</f>
        <v>0.043030434038723</v>
      </c>
      <c r="V123" s="0" t="n">
        <f aca="false">4*DEGREES(U123*SIN(2*RADIANS(I123))-2*K123*SIN(RADIANS(J123))+4*K123*U123*SIN(RADIANS(J123))*COS(2*RADIANS(I123))-0.5*U123*U123*SIN(4*RADIANS(I123))-1.25*K123*K123*SIN(2*RADIANS(J123)))</f>
        <v>14.1686665999498</v>
      </c>
      <c r="W123" s="0" t="n">
        <f aca="false">DEGREES(ACOS(COS(RADIANS(90.833))/(COS(RADIANS($B$3))*COS(RADIANS(T123)))-TAN(RADIANS($B$3))*TAN(RADIANS(T123))))</f>
        <v>43.5848075745788</v>
      </c>
      <c r="X123" s="7" t="n">
        <f aca="false">(720-4*$B$4-V123+$B$5*60)/1440</f>
        <v>0.49989675930559</v>
      </c>
      <c r="Y123" s="7" t="n">
        <f aca="false">X123-W123*4/1440</f>
        <v>0.378827849376205</v>
      </c>
      <c r="Z123" s="7" t="n">
        <f aca="false">X123+W123*4/1440</f>
        <v>0.620965669234976</v>
      </c>
      <c r="AA123" s="10" t="n">
        <f aca="false">8*W123</f>
        <v>348.678460596631</v>
      </c>
      <c r="AB123" s="0" t="n">
        <f aca="false">MOD(E123*1440+V123+4*$B$4-60*$B$5,1440)</f>
        <v>732.148666599949</v>
      </c>
      <c r="AC123" s="0" t="n">
        <f aca="false">IF(AB123/4&lt;0,AB123/4+180,AB123/4-180)</f>
        <v>3.03716664998726</v>
      </c>
      <c r="AD123" s="0" t="n">
        <f aca="false">DEGREES(ACOS(SIN(RADIANS($B$3))*SIN(RADIANS(T123))+COS(RADIANS($B$3))*COS(RADIANS(T123))*COS(RADIANS(AC123))))</f>
        <v>84.4581909549749</v>
      </c>
      <c r="AE123" s="0" t="n">
        <f aca="false">90-AD123</f>
        <v>5.54180904502513</v>
      </c>
      <c r="AF123" s="0" t="n">
        <f aca="false">IF(AE123&gt;85,0,IF(AE123&gt;5,58.1/TAN(RADIANS(AE123))-0.07/POWER(TAN(RADIANS(AE123)),3)+0.000086/POWER(TAN(RADIANS(AE123)),5),IF(AE123&gt;-0.575,1735+AE123*(-518.2+AE123*(103.4+AE123*(-12.79+AE123*0.711))),-20.772/TAN(RADIANS(AE123)))))/3600</f>
        <v>0.147826556561643</v>
      </c>
      <c r="AG123" s="0" t="n">
        <f aca="false">AE123+AF123</f>
        <v>5.68963560158678</v>
      </c>
      <c r="AH123" s="0" t="n">
        <f aca="false">IF(AC123&gt;0,MOD(DEGREES(ACOS(((SIN(RADIANS($B$3))*COS(RADIANS(AD123)))-SIN(RADIANS(T123)))/(COS(RADIANS($B$3))*SIN(RADIANS(AD123)))))+180,360),MOD(540-DEGREES(ACOS(((SIN(RADIANS($B$3))*COS(RADIANS(AD123)))-SIN(RADIANS(T123)))/(COS(RADIANS($B$3))*SIN(RADIANS(AD123))))),360))</f>
        <v>182.867998134276</v>
      </c>
    </row>
    <row r="124" customFormat="false" ht="15" hidden="false" customHeight="false" outlineLevel="0" collapsed="false">
      <c r="D124" s="6" t="n">
        <f aca="false">$B$7</f>
        <v>44886</v>
      </c>
      <c r="E124" s="7" t="n">
        <f aca="false">E123+0.1/24</f>
        <v>0.512499999999999</v>
      </c>
      <c r="F124" s="8" t="n">
        <f aca="false">D124+2415018.5+E124-$B$5/24</f>
        <v>2459904.97083333</v>
      </c>
      <c r="G124" s="9" t="n">
        <f aca="false">(F124-2451545)/36525</f>
        <v>0.22888352726444</v>
      </c>
      <c r="I124" s="0" t="n">
        <f aca="false">MOD(280.46646+G124*(36000.76983+G124*0.0003032),360)</f>
        <v>240.449658809579</v>
      </c>
      <c r="J124" s="0" t="n">
        <f aca="false">357.52911+G124*(35999.05029-0.0001537*G124)</f>
        <v>8597.11871049318</v>
      </c>
      <c r="K124" s="0" t="n">
        <f aca="false">0.016708634-G124*(0.000042037+0.0000001267*G124)</f>
        <v>0.0166990057856467</v>
      </c>
      <c r="L124" s="0" t="n">
        <f aca="false">SIN(RADIANS(J124))*(1.914602-G124*(0.004817+0.000014*G124))+SIN(RADIANS(2*J124))*(0.019993-0.000101*G124)+SIN(RADIANS(3*J124))*0.000289</f>
        <v>-1.32224172170885</v>
      </c>
      <c r="M124" s="0" t="n">
        <f aca="false">I124+L124</f>
        <v>239.12741708787</v>
      </c>
      <c r="N124" s="0" t="n">
        <f aca="false">J124+L124</f>
        <v>8595.79646877147</v>
      </c>
      <c r="O124" s="0" t="n">
        <f aca="false">(1.000001018*(1-K124*K124))/(1+K124*COS(RADIANS(N124)))</f>
        <v>0.987896079820406</v>
      </c>
      <c r="P124" s="0" t="n">
        <f aca="false">M124-0.00569-0.00478*SIN(RADIANS(125.04-1934.136*G124))</f>
        <v>239.118507119322</v>
      </c>
      <c r="Q124" s="0" t="n">
        <f aca="false">23+(26+((21.448-G124*(46.815+G124*(0.00059-G124*0.001813))))/60)/60</f>
        <v>23.4363146690282</v>
      </c>
      <c r="R124" s="0" t="n">
        <f aca="false">Q124+0.00256*COS(RADIANS(125.04-1934.136*G124))</f>
        <v>23.4382066766675</v>
      </c>
      <c r="S124" s="0" t="n">
        <f aca="false">DEGREES(ATAN2(COS(RADIANS(P124)),COS(RADIANS(R124))*SIN(RADIANS(P124))))</f>
        <v>-123.097593545758</v>
      </c>
      <c r="T124" s="0" t="n">
        <f aca="false">DEGREES(ASIN(SIN(RADIANS(R124))*SIN(RADIANS(P124))))</f>
        <v>-19.9603443312758</v>
      </c>
      <c r="U124" s="0" t="n">
        <f aca="false">TAN(RADIANS(R124/2))*TAN(RADIANS(R124/2))</f>
        <v>0.0430304340581989</v>
      </c>
      <c r="V124" s="0" t="n">
        <f aca="false">4*DEGREES(U124*SIN(2*RADIANS(I124))-2*K124*SIN(RADIANS(J124))+4*K124*U124*SIN(RADIANS(J124))*COS(2*RADIANS(I124))-0.5*U124*U124*SIN(4*RADIANS(I124))-1.25*K124*K124*SIN(2*RADIANS(J124)))</f>
        <v>14.1676039757926</v>
      </c>
      <c r="W124" s="0" t="n">
        <f aca="false">DEGREES(ACOS(COS(RADIANS(90.833))/(COS(RADIANS($B$3))*COS(RADIANS(T124)))-TAN(RADIANS($B$3))*TAN(RADIANS(T124))))</f>
        <v>43.5816836547921</v>
      </c>
      <c r="X124" s="7" t="n">
        <f aca="false">(720-4*$B$4-V124+$B$5*60)/1440</f>
        <v>0.499897497239033</v>
      </c>
      <c r="Y124" s="7" t="n">
        <f aca="false">X124-W124*4/1440</f>
        <v>0.37883726486461</v>
      </c>
      <c r="Z124" s="7" t="n">
        <f aca="false">X124+W124*4/1440</f>
        <v>0.620957729613455</v>
      </c>
      <c r="AA124" s="10" t="n">
        <f aca="false">8*W124</f>
        <v>348.653469238337</v>
      </c>
      <c r="AB124" s="0" t="n">
        <f aca="false">MOD(E124*1440+V124+4*$B$4-60*$B$5,1440)</f>
        <v>738.147603975792</v>
      </c>
      <c r="AC124" s="0" t="n">
        <f aca="false">IF(AB124/4&lt;0,AB124/4+180,AB124/4-180)</f>
        <v>4.53690099394794</v>
      </c>
      <c r="AD124" s="0" t="n">
        <f aca="false">DEGREES(ACOS(SIN(RADIANS($B$3))*SIN(RADIANS(T124))+COS(RADIANS($B$3))*COS(RADIANS(T124))*COS(RADIANS(AC124))))</f>
        <v>84.4994228318758</v>
      </c>
      <c r="AE124" s="0" t="n">
        <f aca="false">90-AD124</f>
        <v>5.50057716812417</v>
      </c>
      <c r="AF124" s="0" t="n">
        <f aca="false">IF(AE124&gt;85,0,IF(AE124&gt;5,58.1/TAN(RADIANS(AE124))-0.07/POWER(TAN(RADIANS(AE124)),3)+0.000086/POWER(TAN(RADIANS(AE124)),5),IF(AE124&gt;-0.575,1735+AE124*(-518.2+AE124*(103.4+AE124*(-12.79+AE124*0.711))),-20.772/TAN(RADIANS(AE124)))))/3600</f>
        <v>0.148702199133223</v>
      </c>
      <c r="AG124" s="0" t="n">
        <f aca="false">AE124+AF124</f>
        <v>5.64927936725739</v>
      </c>
      <c r="AH124" s="0" t="n">
        <f aca="false">IF(AC124&gt;0,MOD(DEGREES(ACOS(((SIN(RADIANS($B$3))*COS(RADIANS(AD124)))-SIN(RADIANS(T124)))/(COS(RADIANS($B$3))*SIN(RADIANS(AD124)))))+180,360),MOD(540-DEGREES(ACOS(((SIN(RADIANS($B$3))*COS(RADIANS(AD124)))-SIN(RADIANS(T124)))/(COS(RADIANS($B$3))*SIN(RADIANS(AD124))))),360))</f>
        <v>184.283606483107</v>
      </c>
    </row>
    <row r="125" customFormat="false" ht="15" hidden="false" customHeight="false" outlineLevel="0" collapsed="false">
      <c r="D125" s="6" t="n">
        <f aca="false">$B$7</f>
        <v>44886</v>
      </c>
      <c r="E125" s="7" t="n">
        <f aca="false">E124+0.1/24</f>
        <v>0.516666666666666</v>
      </c>
      <c r="F125" s="8" t="n">
        <f aca="false">D125+2415018.5+E125-$B$5/24</f>
        <v>2459904.975</v>
      </c>
      <c r="G125" s="9" t="n">
        <f aca="false">(F125-2451545)/36525</f>
        <v>0.228883641341549</v>
      </c>
      <c r="I125" s="0" t="n">
        <f aca="false">MOD(280.46646+G125*(36000.76983+G125*0.0003032),360)</f>
        <v>240.45376567335</v>
      </c>
      <c r="J125" s="0" t="n">
        <f aca="false">357.52911+G125*(35999.05029-0.0001537*G125)</f>
        <v>8597.12281716077</v>
      </c>
      <c r="K125" s="0" t="n">
        <f aca="false">0.016708634-G125*(0.000042037+0.0000001267*G125)</f>
        <v>0.0166990057808446</v>
      </c>
      <c r="L125" s="0" t="n">
        <f aca="false">SIN(RADIANS(J125))*(1.914602-G125*(0.004817+0.000014*G125))+SIN(RADIANS(2*J125))*(0.019993-0.000101*G125)+SIN(RADIANS(3*J125))*0.000289</f>
        <v>-1.32214104647721</v>
      </c>
      <c r="M125" s="0" t="n">
        <f aca="false">I125+L125</f>
        <v>239.131624626873</v>
      </c>
      <c r="N125" s="0" t="n">
        <f aca="false">J125+L125</f>
        <v>8595.80067611429</v>
      </c>
      <c r="O125" s="0" t="n">
        <f aca="false">(1.000001018*(1-K125*K125))/(1+K125*COS(RADIANS(N125)))</f>
        <v>0.987895245248701</v>
      </c>
      <c r="P125" s="0" t="n">
        <f aca="false">M125-0.00569-0.00478*SIN(RADIANS(125.04-1934.136*G125))</f>
        <v>239.122714671929</v>
      </c>
      <c r="Q125" s="0" t="n">
        <f aca="false">23+(26+((21.448-G125*(46.815+G125*(0.00059-G125*0.001813))))/60)/60</f>
        <v>23.4363146675447</v>
      </c>
      <c r="R125" s="0" t="n">
        <f aca="false">Q125+0.00256*COS(RADIANS(125.04-1934.136*G125))</f>
        <v>23.4382066818249</v>
      </c>
      <c r="S125" s="0" t="n">
        <f aca="false">DEGREES(ATAN2(COS(RADIANS(P125)),COS(RADIANS(R125))*SIN(RADIANS(P125))))</f>
        <v>-123.093223933418</v>
      </c>
      <c r="T125" s="0" t="n">
        <f aca="false">DEGREES(ASIN(SIN(RADIANS(R125))*SIN(RADIANS(P125))))</f>
        <v>-19.9612581768924</v>
      </c>
      <c r="U125" s="0" t="n">
        <f aca="false">TAN(RADIANS(R125/2))*TAN(RADIANS(R125/2))</f>
        <v>0.0430304340776746</v>
      </c>
      <c r="V125" s="0" t="n">
        <f aca="false">4*DEGREES(U125*SIN(2*RADIANS(I125))-2*K125*SIN(RADIANS(J125))+4*K125*U125*SIN(RADIANS(J125))*COS(2*RADIANS(I125))-0.5*U125*U125*SIN(4*RADIANS(I125))-1.25*K125*K125*SIN(2*RADIANS(J125)))</f>
        <v>14.1665411196553</v>
      </c>
      <c r="W125" s="0" t="n">
        <f aca="false">DEGREES(ACOS(COS(RADIANS(90.833))/(COS(RADIANS($B$3))*COS(RADIANS(T125)))-TAN(RADIANS($B$3))*TAN(RADIANS(T125))))</f>
        <v>43.5785598811622</v>
      </c>
      <c r="X125" s="7" t="n">
        <f aca="false">(720-4*$B$4-V125+$B$5*60)/1440</f>
        <v>0.499898235333573</v>
      </c>
      <c r="Y125" s="7" t="n">
        <f aca="false">X125-W125*4/1440</f>
        <v>0.378846680108122</v>
      </c>
      <c r="Z125" s="7" t="n">
        <f aca="false">X125+W125*4/1440</f>
        <v>0.620949790559023</v>
      </c>
      <c r="AA125" s="10" t="n">
        <f aca="false">8*W125</f>
        <v>348.628479049298</v>
      </c>
      <c r="AB125" s="0" t="n">
        <f aca="false">MOD(E125*1440+V125+4*$B$4-60*$B$5,1440)</f>
        <v>744.146541119654</v>
      </c>
      <c r="AC125" s="0" t="n">
        <f aca="false">IF(AB125/4&lt;0,AB125/4+180,AB125/4-180)</f>
        <v>6.03663527991361</v>
      </c>
      <c r="AD125" s="0" t="n">
        <f aca="false">DEGREES(ACOS(SIN(RADIANS($B$3))*SIN(RADIANS(T125))+COS(RADIANS($B$3))*COS(RADIANS(T125))*COS(RADIANS(AC125))))</f>
        <v>84.5565771721891</v>
      </c>
      <c r="AE125" s="0" t="n">
        <f aca="false">90-AD125</f>
        <v>5.44342282781088</v>
      </c>
      <c r="AF125" s="0" t="n">
        <f aca="false">IF(AE125&gt;85,0,IF(AE125&gt;5,58.1/TAN(RADIANS(AE125))-0.07/POWER(TAN(RADIANS(AE125)),3)+0.000086/POWER(TAN(RADIANS(AE125)),5),IF(AE125&gt;-0.575,1735+AE125*(-518.2+AE125*(103.4+AE125*(-12.79+AE125*0.711))),-20.772/TAN(RADIANS(AE125)))))/3600</f>
        <v>0.149930907146989</v>
      </c>
      <c r="AG125" s="0" t="n">
        <f aca="false">AE125+AF125</f>
        <v>5.59335373495787</v>
      </c>
      <c r="AH125" s="0" t="n">
        <f aca="false">IF(AC125&gt;0,MOD(DEGREES(ACOS(((SIN(RADIANS($B$3))*COS(RADIANS(AD125)))-SIN(RADIANS(T125)))/(COS(RADIANS($B$3))*SIN(RADIANS(AD125)))))+180,360),MOD(540-DEGREES(ACOS(((SIN(RADIANS($B$3))*COS(RADIANS(AD125)))-SIN(RADIANS(T125)))/(COS(RADIANS($B$3))*SIN(RADIANS(AD125))))),360))</f>
        <v>185.69853108764</v>
      </c>
    </row>
    <row r="126" customFormat="false" ht="15" hidden="false" customHeight="false" outlineLevel="0" collapsed="false">
      <c r="D126" s="6" t="n">
        <f aca="false">$B$7</f>
        <v>44886</v>
      </c>
      <c r="E126" s="7" t="n">
        <f aca="false">E125+0.1/24</f>
        <v>0.520833333333333</v>
      </c>
      <c r="F126" s="8" t="n">
        <f aca="false">D126+2415018.5+E126-$B$5/24</f>
        <v>2459904.97916667</v>
      </c>
      <c r="G126" s="9" t="n">
        <f aca="false">(F126-2451545)/36525</f>
        <v>0.228883755418672</v>
      </c>
      <c r="I126" s="0" t="n">
        <f aca="false">MOD(280.46646+G126*(36000.76983+G126*0.0003032),360)</f>
        <v>240.45787253758</v>
      </c>
      <c r="J126" s="0" t="n">
        <f aca="false">357.52911+G126*(35999.05029-0.0001537*G126)</f>
        <v>8597.12692382882</v>
      </c>
      <c r="K126" s="0" t="n">
        <f aca="false">0.016708634-G126*(0.000042037+0.0000001267*G126)</f>
        <v>0.0166990057760426</v>
      </c>
      <c r="L126" s="0" t="n">
        <f aca="false">SIN(RADIANS(J126))*(1.914602-G126*(0.004817+0.000014*G126))+SIN(RADIANS(2*J126))*(0.019993-0.000101*G126)+SIN(RADIANS(3*J126))*0.000289</f>
        <v>-1.32204036412595</v>
      </c>
      <c r="M126" s="0" t="n">
        <f aca="false">I126+L126</f>
        <v>239.135832173454</v>
      </c>
      <c r="N126" s="0" t="n">
        <f aca="false">J126+L126</f>
        <v>8595.80488346469</v>
      </c>
      <c r="O126" s="0" t="n">
        <f aca="false">(1.000001018*(1-K126*K126))/(1+K126*COS(RADIANS(N126)))</f>
        <v>0.987894410739922</v>
      </c>
      <c r="P126" s="0" t="n">
        <f aca="false">M126-0.00569-0.00478*SIN(RADIANS(125.04-1934.136*G126))</f>
        <v>239.126922232114</v>
      </c>
      <c r="Q126" s="0" t="n">
        <f aca="false">23+(26+((21.448-G126*(46.815+G126*(0.00059-G126*0.001813))))/60)/60</f>
        <v>23.4363146660612</v>
      </c>
      <c r="R126" s="0" t="n">
        <f aca="false">Q126+0.00256*COS(RADIANS(125.04-1934.136*G126))</f>
        <v>23.4382066869823</v>
      </c>
      <c r="S126" s="0" t="n">
        <f aca="false">DEGREES(ATAN2(COS(RADIANS(P126)),COS(RADIANS(R126))*SIN(RADIANS(P126))))</f>
        <v>-123.088854262583</v>
      </c>
      <c r="T126" s="0" t="n">
        <f aca="false">DEGREES(ASIN(SIN(RADIANS(R126))*SIN(RADIANS(P126))))</f>
        <v>-19.9621719172236</v>
      </c>
      <c r="U126" s="0" t="n">
        <f aca="false">TAN(RADIANS(R126/2))*TAN(RADIANS(R126/2))</f>
        <v>0.0430304340971502</v>
      </c>
      <c r="V126" s="0" t="n">
        <f aca="false">4*DEGREES(U126*SIN(2*RADIANS(I126))-2*K126*SIN(RADIANS(J126))+4*K126*U126*SIN(RADIANS(J126))*COS(2*RADIANS(I126))-0.5*U126*U126*SIN(4*RADIANS(I126))-1.25*K126*K126*SIN(2*RADIANS(J126)))</f>
        <v>14.1654780313142</v>
      </c>
      <c r="W126" s="0" t="n">
        <f aca="false">DEGREES(ACOS(COS(RADIANS(90.833))/(COS(RADIANS($B$3))*COS(RADIANS(T126)))-TAN(RADIANS($B$3))*TAN(RADIANS(T126))))</f>
        <v>43.5754362530411</v>
      </c>
      <c r="X126" s="7" t="n">
        <f aca="false">(720-4*$B$4-V126+$B$5*60)/1440</f>
        <v>0.499898973589365</v>
      </c>
      <c r="Y126" s="7" t="n">
        <f aca="false">X126-W126*4/1440</f>
        <v>0.378856095108695</v>
      </c>
      <c r="Z126" s="7" t="n">
        <f aca="false">X126+W126*4/1440</f>
        <v>0.620941852070035</v>
      </c>
      <c r="AA126" s="10" t="n">
        <f aca="false">8*W126</f>
        <v>348.603490024329</v>
      </c>
      <c r="AB126" s="0" t="n">
        <f aca="false">MOD(E126*1440+V126+4*$B$4-60*$B$5,1440)</f>
        <v>750.145478031313</v>
      </c>
      <c r="AC126" s="0" t="n">
        <f aca="false">IF(AB126/4&lt;0,AB126/4+180,AB126/4-180)</f>
        <v>7.53636950782834</v>
      </c>
      <c r="AD126" s="0" t="n">
        <f aca="false">DEGREES(ACOS(SIN(RADIANS($B$3))*SIN(RADIANS(T126))+COS(RADIANS($B$3))*COS(RADIANS(T126))*COS(RADIANS(AC126))))</f>
        <v>84.6296106727739</v>
      </c>
      <c r="AE126" s="0" t="n">
        <f aca="false">90-AD126</f>
        <v>5.37038932722615</v>
      </c>
      <c r="AF126" s="0" t="n">
        <f aca="false">IF(AE126&gt;85,0,IF(AE126&gt;5,58.1/TAN(RADIANS(AE126))-0.07/POWER(TAN(RADIANS(AE126)),3)+0.000086/POWER(TAN(RADIANS(AE126)),5),IF(AE126&gt;-0.575,1735+AE126*(-518.2+AE126*(103.4+AE126*(-12.79+AE126*0.711))),-20.772/TAN(RADIANS(AE126)))))/3600</f>
        <v>0.151526721150032</v>
      </c>
      <c r="AG126" s="0" t="n">
        <f aca="false">AE126+AF126</f>
        <v>5.52191604837618</v>
      </c>
      <c r="AH126" s="0" t="n">
        <f aca="false">IF(AC126&gt;0,MOD(DEGREES(ACOS(((SIN(RADIANS($B$3))*COS(RADIANS(AD126)))-SIN(RADIANS(T126)))/(COS(RADIANS($B$3))*SIN(RADIANS(AD126)))))+180,360),MOD(540-DEGREES(ACOS(((SIN(RADIANS($B$3))*COS(RADIANS(AD126)))-SIN(RADIANS(T126)))/(COS(RADIANS($B$3))*SIN(RADIANS(AD126))))),360))</f>
        <v>187.112557050627</v>
      </c>
    </row>
    <row r="127" customFormat="false" ht="15" hidden="false" customHeight="false" outlineLevel="0" collapsed="false">
      <c r="D127" s="6" t="n">
        <f aca="false">$B$7</f>
        <v>44886</v>
      </c>
      <c r="E127" s="7" t="n">
        <f aca="false">E126+0.1/24</f>
        <v>0.524999999999999</v>
      </c>
      <c r="F127" s="8" t="n">
        <f aca="false">D127+2415018.5+E127-$B$5/24</f>
        <v>2459904.98333333</v>
      </c>
      <c r="G127" s="9" t="n">
        <f aca="false">(F127-2451545)/36525</f>
        <v>0.228883869495781</v>
      </c>
      <c r="I127" s="0" t="n">
        <f aca="false">MOD(280.46646+G127*(36000.76983+G127*0.0003032),360)</f>
        <v>240.461979401352</v>
      </c>
      <c r="J127" s="0" t="n">
        <f aca="false">357.52911+G127*(35999.05029-0.0001537*G127)</f>
        <v>8597.1310304964</v>
      </c>
      <c r="K127" s="0" t="n">
        <f aca="false">0.016708634-G127*(0.000042037+0.0000001267*G127)</f>
        <v>0.0166990057712405</v>
      </c>
      <c r="L127" s="0" t="n">
        <f aca="false">SIN(RADIANS(J127))*(1.914602-G127*(0.004817+0.000014*G127))+SIN(RADIANS(2*J127))*(0.019993-0.000101*G127)+SIN(RADIANS(3*J127))*0.000289</f>
        <v>-1.3219396746781</v>
      </c>
      <c r="M127" s="0" t="n">
        <f aca="false">I127+L127</f>
        <v>239.140039726674</v>
      </c>
      <c r="N127" s="0" t="n">
        <f aca="false">J127+L127</f>
        <v>8595.80909082173</v>
      </c>
      <c r="O127" s="0" t="n">
        <f aca="false">(1.000001018*(1-K127*K127))/(1+K127*COS(RADIANS(N127)))</f>
        <v>0.987893576294261</v>
      </c>
      <c r="P127" s="0" t="n">
        <f aca="false">M127-0.00569-0.00478*SIN(RADIANS(125.04-1934.136*G127))</f>
        <v>239.131129798939</v>
      </c>
      <c r="Q127" s="0" t="n">
        <f aca="false">23+(26+((21.448-G127*(46.815+G127*(0.00059-G127*0.001813))))/60)/60</f>
        <v>23.4363146645778</v>
      </c>
      <c r="R127" s="0" t="n">
        <f aca="false">Q127+0.00256*COS(RADIANS(125.04-1934.136*G127))</f>
        <v>23.4382066921397</v>
      </c>
      <c r="S127" s="0" t="n">
        <f aca="false">DEGREES(ATAN2(COS(RADIANS(P127)),COS(RADIANS(R127))*SIN(RADIANS(P127))))</f>
        <v>-123.084484534232</v>
      </c>
      <c r="T127" s="0" t="n">
        <f aca="false">DEGREES(ASIN(SIN(RADIANS(R127))*SIN(RADIANS(P127))))</f>
        <v>-19.9630855520586</v>
      </c>
      <c r="U127" s="0" t="n">
        <f aca="false">TAN(RADIANS(R127/2))*TAN(RADIANS(R127/2))</f>
        <v>0.0430304341166257</v>
      </c>
      <c r="V127" s="0" t="n">
        <f aca="false">4*DEGREES(U127*SIN(2*RADIANS(I127))-2*K127*SIN(RADIANS(J127))+4*K127*U127*SIN(RADIANS(J127))*COS(2*RADIANS(I127))-0.5*U127*U127*SIN(4*RADIANS(I127))-1.25*K127*K127*SIN(2*RADIANS(J127)))</f>
        <v>14.1644147110203</v>
      </c>
      <c r="W127" s="0" t="n">
        <f aca="false">DEGREES(ACOS(COS(RADIANS(90.833))/(COS(RADIANS($B$3))*COS(RADIANS(T127)))-TAN(RADIANS($B$3))*TAN(RADIANS(T127))))</f>
        <v>43.5723127711752</v>
      </c>
      <c r="X127" s="7" t="n">
        <f aca="false">(720-4*$B$4-V127+$B$5*60)/1440</f>
        <v>0.499899712006236</v>
      </c>
      <c r="Y127" s="7" t="n">
        <f aca="false">X127-W127*4/1440</f>
        <v>0.378865509864083</v>
      </c>
      <c r="Z127" s="7" t="n">
        <f aca="false">X127+W127*4/1440</f>
        <v>0.620933914148389</v>
      </c>
      <c r="AA127" s="10" t="n">
        <f aca="false">8*W127</f>
        <v>348.578502169401</v>
      </c>
      <c r="AB127" s="0" t="n">
        <f aca="false">MOD(E127*1440+V127+4*$B$4-60*$B$5,1440)</f>
        <v>756.144414711019</v>
      </c>
      <c r="AC127" s="0" t="n">
        <f aca="false">IF(AB127/4&lt;0,AB127/4+180,AB127/4-180)</f>
        <v>9.03610367775485</v>
      </c>
      <c r="AD127" s="0" t="n">
        <f aca="false">DEGREES(ACOS(SIN(RADIANS($B$3))*SIN(RADIANS(T127))+COS(RADIANS($B$3))*COS(RADIANS(T127))*COS(RADIANS(AC127))))</f>
        <v>84.7184680365184</v>
      </c>
      <c r="AE127" s="0" t="n">
        <f aca="false">90-AD127</f>
        <v>5.28153196348166</v>
      </c>
      <c r="AF127" s="0" t="n">
        <f aca="false">IF(AE127&gt;85,0,IF(AE127&gt;5,58.1/TAN(RADIANS(AE127))-0.07/POWER(TAN(RADIANS(AE127)),3)+0.000086/POWER(TAN(RADIANS(AE127)),5),IF(AE127&gt;-0.575,1735+AE127*(-518.2+AE127*(103.4+AE127*(-12.79+AE127*0.711))),-20.772/TAN(RADIANS(AE127)))))/3600</f>
        <v>0.153508253623675</v>
      </c>
      <c r="AG127" s="0" t="n">
        <f aca="false">AE127+AF127</f>
        <v>5.43504021710533</v>
      </c>
      <c r="AH127" s="0" t="n">
        <f aca="false">IF(AC127&gt;0,MOD(DEGREES(ACOS(((SIN(RADIANS($B$3))*COS(RADIANS(AD127)))-SIN(RADIANS(T127)))/(COS(RADIANS($B$3))*SIN(RADIANS(AD127)))))+180,360),MOD(540-DEGREES(ACOS(((SIN(RADIANS($B$3))*COS(RADIANS(AD127)))-SIN(RADIANS(T127)))/(COS(RADIANS($B$3))*SIN(RADIANS(AD127))))),360))</f>
        <v>188.525473013751</v>
      </c>
    </row>
    <row r="128" customFormat="false" ht="15" hidden="false" customHeight="false" outlineLevel="0" collapsed="false">
      <c r="C128" s="0" t="n">
        <v>44866</v>
      </c>
      <c r="D128" s="6" t="n">
        <f aca="false">$B$7</f>
        <v>44886</v>
      </c>
      <c r="E128" s="7" t="n">
        <f aca="false">E127+0.1/24</f>
        <v>0.529166666666666</v>
      </c>
      <c r="F128" s="8" t="n">
        <f aca="false">D128+2415018.5+E128-$B$5/24</f>
        <v>2459904.9875</v>
      </c>
      <c r="G128" s="9" t="n">
        <f aca="false">(F128-2451545)/36525</f>
        <v>0.228883983572903</v>
      </c>
      <c r="I128" s="0" t="n">
        <f aca="false">MOD(280.46646+G128*(36000.76983+G128*0.0003032),360)</f>
        <v>240.466086265584</v>
      </c>
      <c r="J128" s="0" t="n">
        <f aca="false">357.52911+G128*(35999.05029-0.0001537*G128)</f>
        <v>8597.13513716445</v>
      </c>
      <c r="K128" s="0" t="n">
        <f aca="false">0.016708634-G128*(0.000042037+0.0000001267*G128)</f>
        <v>0.0166990057664384</v>
      </c>
      <c r="L128" s="0" t="n">
        <f aca="false">SIN(RADIANS(J128))*(1.914602-G128*(0.004817+0.000014*G128))+SIN(RADIANS(2*J128))*(0.019993-0.000101*G128)+SIN(RADIANS(3*J128))*0.000289</f>
        <v>-1.32183897811166</v>
      </c>
      <c r="M128" s="0" t="n">
        <f aca="false">I128+L128</f>
        <v>239.144247287472</v>
      </c>
      <c r="N128" s="0" t="n">
        <f aca="false">J128+L128</f>
        <v>8595.81329818634</v>
      </c>
      <c r="O128" s="0" t="n">
        <f aca="false">(1.000001018*(1-K128*K128))/(1+K128*COS(RADIANS(N128)))</f>
        <v>0.987892741911537</v>
      </c>
      <c r="P128" s="0" t="n">
        <f aca="false">M128-0.00569-0.00478*SIN(RADIANS(125.04-1934.136*G128))</f>
        <v>239.135337373341</v>
      </c>
      <c r="Q128" s="0" t="n">
        <f aca="false">23+(26+((21.448-G128*(46.815+G128*(0.00059-G128*0.001813))))/60)/60</f>
        <v>23.4363146630943</v>
      </c>
      <c r="R128" s="0" t="n">
        <f aca="false">Q128+0.00256*COS(RADIANS(125.04-1934.136*G128))</f>
        <v>23.438206697297</v>
      </c>
      <c r="S128" s="0" t="n">
        <f aca="false">DEGREES(ATAN2(COS(RADIANS(P128)),COS(RADIANS(R128))*SIN(RADIANS(P128))))</f>
        <v>-123.080114747394</v>
      </c>
      <c r="T128" s="0" t="n">
        <f aca="false">DEGREES(ASIN(SIN(RADIANS(R128))*SIN(RADIANS(P128))))</f>
        <v>-19.9639990815939</v>
      </c>
      <c r="U128" s="0" t="n">
        <f aca="false">TAN(RADIANS(R128/2))*TAN(RADIANS(R128/2))</f>
        <v>0.043030434136101</v>
      </c>
      <c r="V128" s="0" t="n">
        <f aca="false">4*DEGREES(U128*SIN(2*RADIANS(I128))-2*K128*SIN(RADIANS(J128))+4*K128*U128*SIN(RADIANS(J128))*COS(2*RADIANS(I128))-0.5*U128*U128*SIN(4*RADIANS(I128))-1.25*K128*K128*SIN(2*RADIANS(J128)))</f>
        <v>14.1633511585502</v>
      </c>
      <c r="W128" s="0" t="n">
        <f aca="false">DEGREES(ACOS(COS(RADIANS(90.833))/(COS(RADIANS($B$3))*COS(RADIANS(T128)))-TAN(RADIANS($B$3))*TAN(RADIANS(T128))))</f>
        <v>43.5691894349189</v>
      </c>
      <c r="X128" s="7" t="n">
        <f aca="false">(720-4*$B$4-V128+$B$5*60)/1440</f>
        <v>0.49990045058434</v>
      </c>
      <c r="Y128" s="7" t="n">
        <f aca="false">X128-W128*4/1440</f>
        <v>0.378874924376232</v>
      </c>
      <c r="Z128" s="7" t="n">
        <f aca="false">X128+W128*4/1440</f>
        <v>0.620925976792448</v>
      </c>
      <c r="AA128" s="10" t="n">
        <f aca="false">8*W128</f>
        <v>348.553515479351</v>
      </c>
      <c r="AB128" s="0" t="n">
        <f aca="false">MOD(E128*1440+V128+4*$B$4-60*$B$5,1440)</f>
        <v>762.143351158549</v>
      </c>
      <c r="AC128" s="0" t="n">
        <f aca="false">IF(AB128/4&lt;0,AB128/4+180,AB128/4-180)</f>
        <v>10.5358377896373</v>
      </c>
      <c r="AD128" s="0" t="n">
        <f aca="false">DEGREES(ACOS(SIN(RADIANS($B$3))*SIN(RADIANS(T128))+COS(RADIANS($B$3))*COS(RADIANS(T128))*COS(RADIANS(AC128))))</f>
        <v>84.8230821118103</v>
      </c>
      <c r="AE128" s="0" t="n">
        <f aca="false">90-AD128</f>
        <v>5.17691788818968</v>
      </c>
      <c r="AF128" s="0" t="n">
        <f aca="false">IF(AE128&gt;85,0,IF(AE128&gt;5,58.1/TAN(RADIANS(AE128))-0.07/POWER(TAN(RADIANS(AE128)),3)+0.000086/POWER(TAN(RADIANS(AE128)),5),IF(AE128&gt;-0.575,1735+AE128*(-518.2+AE128*(103.4+AE128*(-12.79+AE128*0.711))),-20.772/TAN(RADIANS(AE128)))))/3600</f>
        <v>0.155899246624929</v>
      </c>
      <c r="AG128" s="0" t="n">
        <f aca="false">AE128+AF128</f>
        <v>5.33281713481461</v>
      </c>
      <c r="AH128" s="0" t="n">
        <f aca="false">IF(AC128&gt;0,MOD(DEGREES(ACOS(((SIN(RADIANS($B$3))*COS(RADIANS(AD128)))-SIN(RADIANS(T128)))/(COS(RADIANS($B$3))*SIN(RADIANS(AD128)))))+180,360),MOD(540-DEGREES(ACOS(((SIN(RADIANS($B$3))*COS(RADIANS(AD128)))-SIN(RADIANS(T128)))/(COS(RADIANS($B$3))*SIN(RADIANS(AD128))))),360))</f>
        <v>189.937071992104</v>
      </c>
    </row>
    <row r="129" customFormat="false" ht="15" hidden="false" customHeight="false" outlineLevel="0" collapsed="false">
      <c r="D129" s="6" t="n">
        <f aca="false">$B$7</f>
        <v>44886</v>
      </c>
      <c r="E129" s="7" t="n">
        <f aca="false">E128+0.1/24</f>
        <v>0.533333333333333</v>
      </c>
      <c r="F129" s="8" t="n">
        <f aca="false">D129+2415018.5+E129-$B$5/24</f>
        <v>2459904.99166667</v>
      </c>
      <c r="G129" s="9" t="n">
        <f aca="false">(F129-2451545)/36525</f>
        <v>0.228884097650012</v>
      </c>
      <c r="I129" s="0" t="n">
        <f aca="false">MOD(280.46646+G129*(36000.76983+G129*0.0003032),360)</f>
        <v>240.470193129355</v>
      </c>
      <c r="J129" s="0" t="n">
        <f aca="false">357.52911+G129*(35999.05029-0.0001537*G129)</f>
        <v>8597.13924383204</v>
      </c>
      <c r="K129" s="0" t="n">
        <f aca="false">0.016708634-G129*(0.000042037+0.0000001267*G129)</f>
        <v>0.0166990057616363</v>
      </c>
      <c r="L129" s="0" t="n">
        <f aca="false">SIN(RADIANS(J129))*(1.914602-G129*(0.004817+0.000014*G129))+SIN(RADIANS(2*J129))*(0.019993-0.000101*G129)+SIN(RADIANS(3*J129))*0.000289</f>
        <v>-1.32173827444971</v>
      </c>
      <c r="M129" s="0" t="n">
        <f aca="false">I129+L129</f>
        <v>239.148454854905</v>
      </c>
      <c r="N129" s="0" t="n">
        <f aca="false">J129+L129</f>
        <v>8595.81750555759</v>
      </c>
      <c r="O129" s="0" t="n">
        <f aca="false">(1.000001018*(1-K129*K129))/(1+K129*COS(RADIANS(N129)))</f>
        <v>0.987891907591939</v>
      </c>
      <c r="P129" s="0" t="n">
        <f aca="false">M129-0.00569-0.00478*SIN(RADIANS(125.04-1934.136*G129))</f>
        <v>239.139544954379</v>
      </c>
      <c r="Q129" s="0" t="n">
        <f aca="false">23+(26+((21.448-G129*(46.815+G129*(0.00059-G129*0.001813))))/60)/60</f>
        <v>23.4363146616108</v>
      </c>
      <c r="R129" s="0" t="n">
        <f aca="false">Q129+0.00256*COS(RADIANS(125.04-1934.136*G129))</f>
        <v>23.4382067024543</v>
      </c>
      <c r="S129" s="0" t="n">
        <f aca="false">DEGREES(ATAN2(COS(RADIANS(P129)),COS(RADIANS(R129))*SIN(RADIANS(P129))))</f>
        <v>-123.075744903049</v>
      </c>
      <c r="T129" s="0" t="n">
        <f aca="false">DEGREES(ASIN(SIN(RADIANS(R129))*SIN(RADIANS(P129))))</f>
        <v>-19.9649125056179</v>
      </c>
      <c r="U129" s="0" t="n">
        <f aca="false">TAN(RADIANS(R129/2))*TAN(RADIANS(R129/2))</f>
        <v>0.0430304341555764</v>
      </c>
      <c r="V129" s="0" t="n">
        <f aca="false">4*DEGREES(U129*SIN(2*RADIANS(I129))-2*K129*SIN(RADIANS(J129))+4*K129*U129*SIN(RADIANS(J129))*COS(2*RADIANS(I129))-0.5*U129*U129*SIN(4*RADIANS(I129))-1.25*K129*K129*SIN(2*RADIANS(J129)))</f>
        <v>14.1622873741559</v>
      </c>
      <c r="W129" s="0" t="n">
        <f aca="false">DEGREES(ACOS(COS(RADIANS(90.833))/(COS(RADIANS($B$3))*COS(RADIANS(T129)))-TAN(RADIANS($B$3))*TAN(RADIANS(T129))))</f>
        <v>43.5660662450216</v>
      </c>
      <c r="X129" s="7" t="n">
        <f aca="false">(720-4*$B$4-V129+$B$5*60)/1440</f>
        <v>0.499901189323503</v>
      </c>
      <c r="Y129" s="7" t="n">
        <f aca="false">X129-W129*4/1440</f>
        <v>0.378884338642887</v>
      </c>
      <c r="Z129" s="7" t="n">
        <f aca="false">X129+W129*4/1440</f>
        <v>0.620918040004118</v>
      </c>
      <c r="AA129" s="10" t="n">
        <f aca="false">8*W129</f>
        <v>348.528529960173</v>
      </c>
      <c r="AB129" s="0" t="n">
        <f aca="false">MOD(E129*1440+V129+4*$B$4-60*$B$5,1440)</f>
        <v>768.142287374155</v>
      </c>
      <c r="AC129" s="0" t="n">
        <f aca="false">IF(AB129/4&lt;0,AB129/4+180,AB129/4-180)</f>
        <v>12.0355718435387</v>
      </c>
      <c r="AD129" s="0" t="n">
        <f aca="false">DEGREES(ACOS(SIN(RADIANS($B$3))*SIN(RADIANS(T129))+COS(RADIANS($B$3))*COS(RADIANS(T129))*COS(RADIANS(AC129))))</f>
        <v>84.9433740585768</v>
      </c>
      <c r="AE129" s="0" t="n">
        <f aca="false">90-AD129</f>
        <v>5.05662594142325</v>
      </c>
      <c r="AF129" s="0" t="n">
        <f aca="false">IF(AE129&gt;85,0,IF(AE129&gt;5,58.1/TAN(RADIANS(AE129))-0.07/POWER(TAN(RADIANS(AE129)),3)+0.000086/POWER(TAN(RADIANS(AE129)),5),IF(AE129&gt;-0.575,1735+AE129*(-518.2+AE129*(103.4+AE129*(-12.79+AE129*0.711))),-20.772/TAN(RADIANS(AE129)))))/3600</f>
        <v>0.158729363734161</v>
      </c>
      <c r="AG129" s="0" t="n">
        <f aca="false">AE129+AF129</f>
        <v>5.21535530515741</v>
      </c>
      <c r="AH129" s="0" t="n">
        <f aca="false">IF(AC129&gt;0,MOD(DEGREES(ACOS(((SIN(RADIANS($B$3))*COS(RADIANS(AD129)))-SIN(RADIANS(T129)))/(COS(RADIANS($B$3))*SIN(RADIANS(AD129)))))+180,360),MOD(540-DEGREES(ACOS(((SIN(RADIANS($B$3))*COS(RADIANS(AD129)))-SIN(RADIANS(T129)))/(COS(RADIANS($B$3))*SIN(RADIANS(AD129))))),360))</f>
        <v>191.347152186291</v>
      </c>
    </row>
    <row r="130" customFormat="false" ht="15" hidden="false" customHeight="false" outlineLevel="0" collapsed="false">
      <c r="D130" s="6" t="n">
        <f aca="false">$B$7</f>
        <v>44886</v>
      </c>
      <c r="E130" s="7" t="n">
        <f aca="false">E129+0.1/24</f>
        <v>0.537499999999999</v>
      </c>
      <c r="F130" s="8" t="n">
        <f aca="false">D130+2415018.5+E130-$B$5/24</f>
        <v>2459904.99583333</v>
      </c>
      <c r="G130" s="9" t="n">
        <f aca="false">(F130-2451545)/36525</f>
        <v>0.228884211727134</v>
      </c>
      <c r="I130" s="0" t="n">
        <f aca="false">MOD(280.46646+G130*(36000.76983+G130*0.0003032),360)</f>
        <v>240.474299993584</v>
      </c>
      <c r="J130" s="0" t="n">
        <f aca="false">357.52911+G130*(35999.05029-0.0001537*G130)</f>
        <v>8597.14335050008</v>
      </c>
      <c r="K130" s="0" t="n">
        <f aca="false">0.016708634-G130*(0.000042037+0.0000001267*G130)</f>
        <v>0.0166990057568343</v>
      </c>
      <c r="L130" s="0" t="n">
        <f aca="false">SIN(RADIANS(J130))*(1.914602-G130*(0.004817+0.000014*G130))+SIN(RADIANS(2*J130))*(0.019993-0.000101*G130)+SIN(RADIANS(3*J130))*0.000289</f>
        <v>-1.3216375636702</v>
      </c>
      <c r="M130" s="0" t="n">
        <f aca="false">I130+L130</f>
        <v>239.152662429914</v>
      </c>
      <c r="N130" s="0" t="n">
        <f aca="false">J130+L130</f>
        <v>8595.82171293641</v>
      </c>
      <c r="O130" s="0" t="n">
        <f aca="false">(1.000001018*(1-K130*K130))/(1+K130*COS(RADIANS(N130)))</f>
        <v>0.987891073335286</v>
      </c>
      <c r="P130" s="0" t="n">
        <f aca="false">M130-0.00569-0.00478*SIN(RADIANS(125.04-1934.136*G130))</f>
        <v>239.143752542992</v>
      </c>
      <c r="Q130" s="0" t="n">
        <f aca="false">23+(26+((21.448-G130*(46.815+G130*(0.00059-G130*0.001813))))/60)/60</f>
        <v>23.4363146601273</v>
      </c>
      <c r="R130" s="0" t="n">
        <f aca="false">Q130+0.00256*COS(RADIANS(125.04-1934.136*G130))</f>
        <v>23.4382067076115</v>
      </c>
      <c r="S130" s="0" t="n">
        <f aca="false">DEGREES(ATAN2(COS(RADIANS(P130)),COS(RADIANS(R130))*SIN(RADIANS(P130))))</f>
        <v>-123.071375000223</v>
      </c>
      <c r="T130" s="0" t="n">
        <f aca="false">DEGREES(ASIN(SIN(RADIANS(R130))*SIN(RADIANS(P130))))</f>
        <v>-19.9658258243276</v>
      </c>
      <c r="U130" s="0" t="n">
        <f aca="false">TAN(RADIANS(R130/2))*TAN(RADIANS(R130/2))</f>
        <v>0.0430304341750515</v>
      </c>
      <c r="V130" s="0" t="n">
        <f aca="false">4*DEGREES(U130*SIN(2*RADIANS(I130))-2*K130*SIN(RADIANS(J130))+4*K130*U130*SIN(RADIANS(J130))*COS(2*RADIANS(I130))-0.5*U130*U130*SIN(4*RADIANS(I130))-1.25*K130*K130*SIN(2*RADIANS(J130)))</f>
        <v>14.161223357613</v>
      </c>
      <c r="W130" s="0" t="n">
        <f aca="false">DEGREES(ACOS(COS(RADIANS(90.833))/(COS(RADIANS($B$3))*COS(RADIANS(T130)))-TAN(RADIANS($B$3))*TAN(RADIANS(T130))))</f>
        <v>43.562943200835</v>
      </c>
      <c r="X130" s="7" t="n">
        <f aca="false">(720-4*$B$4-V130+$B$5*60)/1440</f>
        <v>0.49990192822388</v>
      </c>
      <c r="Y130" s="7" t="n">
        <f aca="false">X130-W130*4/1440</f>
        <v>0.378893752666005</v>
      </c>
      <c r="Z130" s="7" t="n">
        <f aca="false">X130+W130*4/1440</f>
        <v>0.620910103781755</v>
      </c>
      <c r="AA130" s="10" t="n">
        <f aca="false">8*W130</f>
        <v>348.50354560668</v>
      </c>
      <c r="AB130" s="0" t="n">
        <f aca="false">MOD(E130*1440+V130+4*$B$4-60*$B$5,1440)</f>
        <v>774.141223357612</v>
      </c>
      <c r="AC130" s="0" t="n">
        <f aca="false">IF(AB130/4&lt;0,AB130/4+180,AB130/4-180)</f>
        <v>13.535305839403</v>
      </c>
      <c r="AD130" s="0" t="n">
        <f aca="false">DEGREES(ACOS(SIN(RADIANS($B$3))*SIN(RADIANS(T130))+COS(RADIANS($B$3))*COS(RADIANS(T130))*COS(RADIANS(AC130))))</f>
        <v>85.0792535428741</v>
      </c>
      <c r="AE130" s="0" t="n">
        <f aca="false">90-AD130</f>
        <v>4.92074645712592</v>
      </c>
      <c r="AF130" s="0" t="n">
        <f aca="false">IF(AE130&gt;85,0,IF(AE130&gt;5,58.1/TAN(RADIANS(AE130))-0.07/POWER(TAN(RADIANS(AE130)),3)+0.000086/POWER(TAN(RADIANS(AE130)),5),IF(AE130&gt;-0.575,1735+AE130*(-518.2+AE130*(103.4+AE130*(-12.79+AE130*0.711))),-20.772/TAN(RADIANS(AE130)))))/3600</f>
        <v>0.161585828263463</v>
      </c>
      <c r="AG130" s="0" t="n">
        <f aca="false">AE130+AF130</f>
        <v>5.08233228538938</v>
      </c>
      <c r="AH130" s="0" t="n">
        <f aca="false">IF(AC130&gt;0,MOD(DEGREES(ACOS(((SIN(RADIANS($B$3))*COS(RADIANS(AD130)))-SIN(RADIANS(T130)))/(COS(RADIANS($B$3))*SIN(RADIANS(AD130)))))+180,360),MOD(540-DEGREES(ACOS(((SIN(RADIANS($B$3))*COS(RADIANS(AD130)))-SIN(RADIANS(T130)))/(COS(RADIANS($B$3))*SIN(RADIANS(AD130))))),360))</f>
        <v>192.755517767164</v>
      </c>
    </row>
    <row r="131" customFormat="false" ht="15" hidden="false" customHeight="false" outlineLevel="0" collapsed="false">
      <c r="D131" s="6" t="n">
        <f aca="false">$B$7</f>
        <v>44886</v>
      </c>
      <c r="E131" s="7" t="n">
        <f aca="false">E130+0.1/24</f>
        <v>0.541666666666666</v>
      </c>
      <c r="F131" s="8" t="n">
        <f aca="false">D131+2415018.5+E131-$B$5/24</f>
        <v>2459905</v>
      </c>
      <c r="G131" s="9" t="n">
        <f aca="false">(F131-2451545)/36525</f>
        <v>0.228884325804244</v>
      </c>
      <c r="I131" s="0" t="n">
        <f aca="false">MOD(280.46646+G131*(36000.76983+G131*0.0003032),360)</f>
        <v>240.478406857357</v>
      </c>
      <c r="J131" s="0" t="n">
        <f aca="false">357.52911+G131*(35999.05029-0.0001537*G131)</f>
        <v>8597.14745716767</v>
      </c>
      <c r="K131" s="0" t="n">
        <f aca="false">0.016708634-G131*(0.000042037+0.0000001267*G131)</f>
        <v>0.0166990057520322</v>
      </c>
      <c r="L131" s="0" t="n">
        <f aca="false">SIN(RADIANS(J131))*(1.914602-G131*(0.004817+0.000014*G131))+SIN(RADIANS(2*J131))*(0.019993-0.000101*G131)+SIN(RADIANS(3*J131))*0.000289</f>
        <v>-1.32153684579615</v>
      </c>
      <c r="M131" s="0" t="n">
        <f aca="false">I131+L131</f>
        <v>239.156870011561</v>
      </c>
      <c r="N131" s="0" t="n">
        <f aca="false">J131+L131</f>
        <v>8595.82592032187</v>
      </c>
      <c r="O131" s="0" t="n">
        <f aca="false">(1.000001018*(1-K131*K131))/(1+K131*COS(RADIANS(N131)))</f>
        <v>0.98789023914177</v>
      </c>
      <c r="P131" s="0" t="n">
        <f aca="false">M131-0.00569-0.00478*SIN(RADIANS(125.04-1934.136*G131))</f>
        <v>239.147960138244</v>
      </c>
      <c r="Q131" s="0" t="n">
        <f aca="false">23+(26+((21.448-G131*(46.815+G131*(0.00059-G131*0.001813))))/60)/60</f>
        <v>23.4363146586438</v>
      </c>
      <c r="R131" s="0" t="n">
        <f aca="false">Q131+0.00256*COS(RADIANS(125.04-1934.136*G131))</f>
        <v>23.4382067127688</v>
      </c>
      <c r="S131" s="0" t="n">
        <f aca="false">DEGREES(ATAN2(COS(RADIANS(P131)),COS(RADIANS(R131))*SIN(RADIANS(P131))))</f>
        <v>-123.067005039893</v>
      </c>
      <c r="T131" s="0" t="n">
        <f aca="false">DEGREES(ASIN(SIN(RADIANS(R131))*SIN(RADIANS(P131))))</f>
        <v>-19.9667390375124</v>
      </c>
      <c r="U131" s="0" t="n">
        <f aca="false">TAN(RADIANS(R131/2))*TAN(RADIANS(R131/2))</f>
        <v>0.0430304341945266</v>
      </c>
      <c r="V131" s="0" t="n">
        <f aca="false">4*DEGREES(U131*SIN(2*RADIANS(I131))-2*K131*SIN(RADIANS(J131))+4*K131*U131*SIN(RADIANS(J131))*COS(2*RADIANS(I131))-0.5*U131*U131*SIN(4*RADIANS(I131))-1.25*K131*K131*SIN(2*RADIANS(J131)))</f>
        <v>14.1601591091728</v>
      </c>
      <c r="W131" s="0" t="n">
        <f aca="false">DEGREES(ACOS(COS(RADIANS(90.833))/(COS(RADIANS($B$3))*COS(RADIANS(T131)))-TAN(RADIANS($B$3))*TAN(RADIANS(T131))))</f>
        <v>43.5598203031056</v>
      </c>
      <c r="X131" s="7" t="n">
        <f aca="false">(720-4*$B$4-V131+$B$5*60)/1440</f>
        <v>0.499902667285297</v>
      </c>
      <c r="Y131" s="7" t="n">
        <f aca="false">X131-W131*4/1440</f>
        <v>0.378903166443337</v>
      </c>
      <c r="Z131" s="7" t="n">
        <f aca="false">X131+W131*4/1440</f>
        <v>0.620902168127257</v>
      </c>
      <c r="AA131" s="10" t="n">
        <f aca="false">8*W131</f>
        <v>348.478562424845</v>
      </c>
      <c r="AB131" s="0" t="n">
        <f aca="false">MOD(E131*1440+V131+4*$B$4-60*$B$5,1440)</f>
        <v>780.140159109172</v>
      </c>
      <c r="AC131" s="0" t="n">
        <f aca="false">IF(AB131/4&lt;0,AB131/4+180,AB131/4-180)</f>
        <v>15.035039777293</v>
      </c>
      <c r="AD131" s="0" t="n">
        <f aca="false">DEGREES(ACOS(SIN(RADIANS($B$3))*SIN(RADIANS(T131))+COS(RADIANS($B$3))*COS(RADIANS(T131))*COS(RADIANS(AC131))))</f>
        <v>85.2306189554357</v>
      </c>
      <c r="AE131" s="0" t="n">
        <f aca="false">90-AD131</f>
        <v>4.76938104456436</v>
      </c>
      <c r="AF131" s="0" t="n">
        <f aca="false">IF(AE131&gt;85,0,IF(AE131&gt;5,58.1/TAN(RADIANS(AE131))-0.07/POWER(TAN(RADIANS(AE131)),3)+0.000086/POWER(TAN(RADIANS(AE131)),5),IF(AE131&gt;-0.575,1735+AE131*(-518.2+AE131*(103.4+AE131*(-12.79+AE131*0.711))),-20.772/TAN(RADIANS(AE131)))))/3600</f>
        <v>0.165516771532524</v>
      </c>
      <c r="AG131" s="0" t="n">
        <f aca="false">AE131+AF131</f>
        <v>4.93489781609688</v>
      </c>
      <c r="AH131" s="0" t="n">
        <f aca="false">IF(AC131&gt;0,MOD(DEGREES(ACOS(((SIN(RADIANS($B$3))*COS(RADIANS(AD131)))-SIN(RADIANS(T131)))/(COS(RADIANS($B$3))*SIN(RADIANS(AD131)))))+180,360),MOD(540-DEGREES(ACOS(((SIN(RADIANS($B$3))*COS(RADIANS(AD131)))-SIN(RADIANS(T131)))/(COS(RADIANS($B$3))*SIN(RADIANS(AD131))))),360))</f>
        <v>194.161979630664</v>
      </c>
    </row>
    <row r="132" customFormat="false" ht="15" hidden="false" customHeight="false" outlineLevel="0" collapsed="false">
      <c r="D132" s="6" t="n">
        <f aca="false">$B$7</f>
        <v>44886</v>
      </c>
      <c r="E132" s="7" t="n">
        <f aca="false">E131+0.1/24</f>
        <v>0.545833333333333</v>
      </c>
      <c r="F132" s="8" t="n">
        <f aca="false">D132+2415018.5+E132-$B$5/24</f>
        <v>2459905.00416667</v>
      </c>
      <c r="G132" s="9" t="n">
        <f aca="false">(F132-2451545)/36525</f>
        <v>0.228884439881366</v>
      </c>
      <c r="I132" s="0" t="n">
        <f aca="false">MOD(280.46646+G132*(36000.76983+G132*0.0003032),360)</f>
        <v>240.482513721588</v>
      </c>
      <c r="J132" s="0" t="n">
        <f aca="false">357.52911+G132*(35999.05029-0.0001537*G132)</f>
        <v>8597.15156383572</v>
      </c>
      <c r="K132" s="0" t="n">
        <f aca="false">0.016708634-G132*(0.000042037+0.0000001267*G132)</f>
        <v>0.0166990057472301</v>
      </c>
      <c r="L132" s="0" t="n">
        <f aca="false">SIN(RADIANS(J132))*(1.914602-G132*(0.004817+0.000014*G132))+SIN(RADIANS(2*J132))*(0.019993-0.000101*G132)+SIN(RADIANS(3*J132))*0.000289</f>
        <v>-1.32143612080554</v>
      </c>
      <c r="M132" s="0" t="n">
        <f aca="false">I132+L132</f>
        <v>239.161077600783</v>
      </c>
      <c r="N132" s="0" t="n">
        <f aca="false">J132+L132</f>
        <v>8595.83012771491</v>
      </c>
      <c r="O132" s="0" t="n">
        <f aca="false">(1.000001018*(1-K132*K132))/(1+K132*COS(RADIANS(N132)))</f>
        <v>0.987889405011207</v>
      </c>
      <c r="P132" s="0" t="n">
        <f aca="false">M132-0.00569-0.00478*SIN(RADIANS(125.04-1934.136*G132))</f>
        <v>239.15216774107</v>
      </c>
      <c r="Q132" s="0" t="n">
        <f aca="false">23+(26+((21.448-G132*(46.815+G132*(0.00059-G132*0.001813))))/60)/60</f>
        <v>23.4363146571604</v>
      </c>
      <c r="R132" s="0" t="n">
        <f aca="false">Q132+0.00256*COS(RADIANS(125.04-1934.136*G132))</f>
        <v>23.438206717926</v>
      </c>
      <c r="S132" s="0" t="n">
        <f aca="false">DEGREES(ATAN2(COS(RADIANS(P132)),COS(RADIANS(R132))*SIN(RADIANS(P132))))</f>
        <v>-123.062635021088</v>
      </c>
      <c r="T132" s="0" t="n">
        <f aca="false">DEGREES(ASIN(SIN(RADIANS(R132))*SIN(RADIANS(P132))))</f>
        <v>-19.9676521453686</v>
      </c>
      <c r="U132" s="0" t="n">
        <f aca="false">TAN(RADIANS(R132/2))*TAN(RADIANS(R132/2))</f>
        <v>0.0430304342140016</v>
      </c>
      <c r="V132" s="0" t="n">
        <f aca="false">4*DEGREES(U132*SIN(2*RADIANS(I132))-2*K132*SIN(RADIANS(J132))+4*K132*U132*SIN(RADIANS(J132))*COS(2*RADIANS(I132))-0.5*U132*U132*SIN(4*RADIANS(I132))-1.25*K132*K132*SIN(2*RADIANS(J132)))</f>
        <v>14.1590946286116</v>
      </c>
      <c r="W132" s="0" t="n">
        <f aca="false">DEGREES(ACOS(COS(RADIANS(90.833))/(COS(RADIANS($B$3))*COS(RADIANS(T132)))-TAN(RADIANS($B$3))*TAN(RADIANS(T132))))</f>
        <v>43.5566975511881</v>
      </c>
      <c r="X132" s="7" t="n">
        <f aca="false">(720-4*$B$4-V132+$B$5*60)/1440</f>
        <v>0.499903406507909</v>
      </c>
      <c r="Y132" s="7" t="n">
        <f aca="false">X132-W132*4/1440</f>
        <v>0.378912579976831</v>
      </c>
      <c r="Z132" s="7" t="n">
        <f aca="false">X132+W132*4/1440</f>
        <v>0.620894233038987</v>
      </c>
      <c r="AA132" s="10" t="n">
        <f aca="false">8*W132</f>
        <v>348.453580409504</v>
      </c>
      <c r="AB132" s="0" t="n">
        <f aca="false">MOD(E132*1440+V132+4*$B$4-60*$B$5,1440)</f>
        <v>786.139094628611</v>
      </c>
      <c r="AC132" s="0" t="n">
        <f aca="false">IF(AB132/4&lt;0,AB132/4+180,AB132/4-180)</f>
        <v>16.5347736571526</v>
      </c>
      <c r="AD132" s="0" t="n">
        <f aca="false">DEGREES(ACOS(SIN(RADIANS($B$3))*SIN(RADIANS(T132))+COS(RADIANS($B$3))*COS(RADIANS(T132))*COS(RADIANS(AC132))))</f>
        <v>85.3973576557841</v>
      </c>
      <c r="AE132" s="0" t="n">
        <f aca="false">90-AD132</f>
        <v>4.60264234421587</v>
      </c>
      <c r="AF132" s="0" t="n">
        <f aca="false">IF(AE132&gt;85,0,IF(AE132&gt;5,58.1/TAN(RADIANS(AE132))-0.07/POWER(TAN(RADIANS(AE132)),3)+0.000086/POWER(TAN(RADIANS(AE132)),5),IF(AE132&gt;-0.575,1735+AE132*(-518.2+AE132*(103.4+AE132*(-12.79+AE132*0.711))),-20.772/TAN(RADIANS(AE132)))))/3600</f>
        <v>0.170103963197954</v>
      </c>
      <c r="AG132" s="0" t="n">
        <f aca="false">AE132+AF132</f>
        <v>4.77274630741382</v>
      </c>
      <c r="AH132" s="0" t="n">
        <f aca="false">IF(AC132&gt;0,MOD(DEGREES(ACOS(((SIN(RADIANS($B$3))*COS(RADIANS(AD132)))-SIN(RADIANS(T132)))/(COS(RADIANS($B$3))*SIN(RADIANS(AD132)))))+180,360),MOD(540-DEGREES(ACOS(((SIN(RADIANS($B$3))*COS(RADIANS(AD132)))-SIN(RADIANS(T132)))/(COS(RADIANS($B$3))*SIN(RADIANS(AD132))))),360))</f>
        <v>195.566356118312</v>
      </c>
    </row>
    <row r="133" customFormat="false" ht="15" hidden="false" customHeight="false" outlineLevel="0" collapsed="false">
      <c r="D133" s="6" t="n">
        <f aca="false">$B$7</f>
        <v>44886</v>
      </c>
      <c r="E133" s="7" t="n">
        <f aca="false">E132+0.1/24</f>
        <v>0.549999999999999</v>
      </c>
      <c r="F133" s="8" t="n">
        <f aca="false">D133+2415018.5+E133-$B$5/24</f>
        <v>2459905.00833333</v>
      </c>
      <c r="G133" s="9" t="n">
        <f aca="false">(F133-2451545)/36525</f>
        <v>0.228884553958475</v>
      </c>
      <c r="I133" s="0" t="n">
        <f aca="false">MOD(280.46646+G133*(36000.76983+G133*0.0003032),360)</f>
        <v>240.48662058536</v>
      </c>
      <c r="J133" s="0" t="n">
        <f aca="false">357.52911+G133*(35999.05029-0.0001537*G133)</f>
        <v>8597.15567050331</v>
      </c>
      <c r="K133" s="0" t="n">
        <f aca="false">0.016708634-G133*(0.000042037+0.0000001267*G133)</f>
        <v>0.016699005742428</v>
      </c>
      <c r="L133" s="0" t="n">
        <f aca="false">SIN(RADIANS(J133))*(1.914602-G133*(0.004817+0.000014*G133))+SIN(RADIANS(2*J133))*(0.019993-0.000101*G133)+SIN(RADIANS(3*J133))*0.000289</f>
        <v>-1.32133538872153</v>
      </c>
      <c r="M133" s="0" t="n">
        <f aca="false">I133+L133</f>
        <v>239.165285196638</v>
      </c>
      <c r="N133" s="0" t="n">
        <f aca="false">J133+L133</f>
        <v>8595.83433511458</v>
      </c>
      <c r="O133" s="0" t="n">
        <f aca="false">(1.000001018*(1-K133*K133))/(1+K133*COS(RADIANS(N133)))</f>
        <v>0.987888570943791</v>
      </c>
      <c r="P133" s="0" t="n">
        <f aca="false">M133-0.00569-0.00478*SIN(RADIANS(125.04-1934.136*G133))</f>
        <v>239.15637535053</v>
      </c>
      <c r="Q133" s="0" t="n">
        <f aca="false">23+(26+((21.448-G133*(46.815+G133*(0.00059-G133*0.001813))))/60)/60</f>
        <v>23.4363146556769</v>
      </c>
      <c r="R133" s="0" t="n">
        <f aca="false">Q133+0.00256*COS(RADIANS(125.04-1934.136*G133))</f>
        <v>23.4382067230832</v>
      </c>
      <c r="S133" s="0" t="n">
        <f aca="false">DEGREES(ATAN2(COS(RADIANS(P133)),COS(RADIANS(R133))*SIN(RADIANS(P133))))</f>
        <v>-123.058264944789</v>
      </c>
      <c r="T133" s="0" t="n">
        <f aca="false">DEGREES(ASIN(SIN(RADIANS(R133))*SIN(RADIANS(P133))))</f>
        <v>-19.9685651476847</v>
      </c>
      <c r="U133" s="0" t="n">
        <f aca="false">TAN(RADIANS(R133/2))*TAN(RADIANS(R133/2))</f>
        <v>0.0430304342334764</v>
      </c>
      <c r="V133" s="0" t="n">
        <f aca="false">4*DEGREES(U133*SIN(2*RADIANS(I133))-2*K133*SIN(RADIANS(J133))+4*K133*U133*SIN(RADIANS(J133))*COS(2*RADIANS(I133))-0.5*U133*U133*SIN(4*RADIANS(I133))-1.25*K133*K133*SIN(2*RADIANS(J133)))</f>
        <v>14.1580299161818</v>
      </c>
      <c r="W133" s="0" t="n">
        <f aca="false">DEGREES(ACOS(COS(RADIANS(90.833))/(COS(RADIANS($B$3))*COS(RADIANS(T133)))-TAN(RADIANS($B$3))*TAN(RADIANS(T133))))</f>
        <v>43.5535749458315</v>
      </c>
      <c r="X133" s="7" t="n">
        <f aca="false">(720-4*$B$4-V133+$B$5*60)/1440</f>
        <v>0.49990414589154</v>
      </c>
      <c r="Y133" s="7" t="n">
        <f aca="false">X133-W133*4/1440</f>
        <v>0.378921993264231</v>
      </c>
      <c r="Z133" s="7" t="n">
        <f aca="false">X133+W133*4/1440</f>
        <v>0.62088629851885</v>
      </c>
      <c r="AA133" s="10" t="n">
        <f aca="false">8*W133</f>
        <v>348.428599566652</v>
      </c>
      <c r="AB133" s="0" t="n">
        <f aca="false">MOD(E133*1440+V133+4*$B$4-60*$B$5,1440)</f>
        <v>792.138029916181</v>
      </c>
      <c r="AC133" s="0" t="n">
        <f aca="false">IF(AB133/4&lt;0,AB133/4+180,AB133/4-180)</f>
        <v>18.0345074790452</v>
      </c>
      <c r="AD133" s="0" t="n">
        <f aca="false">DEGREES(ACOS(SIN(RADIANS($B$3))*SIN(RADIANS(T133))+COS(RADIANS($B$3))*COS(RADIANS(T133))*COS(RADIANS(AC133))))</f>
        <v>85.5793462370316</v>
      </c>
      <c r="AE133" s="0" t="n">
        <f aca="false">90-AD133</f>
        <v>4.42065376296839</v>
      </c>
      <c r="AF133" s="0" t="n">
        <f aca="false">IF(AE133&gt;85,0,IF(AE133&gt;5,58.1/TAN(RADIANS(AE133))-0.07/POWER(TAN(RADIANS(AE133)),3)+0.000086/POWER(TAN(RADIANS(AE133)),5),IF(AE133&gt;-0.575,1735+AE133*(-518.2+AE133*(103.4+AE133*(-12.79+AE133*0.711))),-20.772/TAN(RADIANS(AE133)))))/3600</f>
        <v>0.175413671518934</v>
      </c>
      <c r="AG133" s="0" t="n">
        <f aca="false">AE133+AF133</f>
        <v>4.59606743448732</v>
      </c>
      <c r="AH133" s="0" t="n">
        <f aca="false">IF(AC133&gt;0,MOD(DEGREES(ACOS(((SIN(RADIANS($B$3))*COS(RADIANS(AD133)))-SIN(RADIANS(T133)))/(COS(RADIANS($B$3))*SIN(RADIANS(AD133)))))+180,360),MOD(540-DEGREES(ACOS(((SIN(RADIANS($B$3))*COS(RADIANS(AD133)))-SIN(RADIANS(T133)))/(COS(RADIANS($B$3))*SIN(RADIANS(AD133))))),360))</f>
        <v>196.968473701607</v>
      </c>
    </row>
    <row r="134" customFormat="false" ht="15" hidden="false" customHeight="false" outlineLevel="0" collapsed="false">
      <c r="D134" s="6" t="n">
        <f aca="false">$B$7</f>
        <v>44886</v>
      </c>
      <c r="E134" s="7" t="n">
        <f aca="false">E133+0.1/24</f>
        <v>0.554166666666666</v>
      </c>
      <c r="F134" s="8" t="n">
        <f aca="false">D134+2415018.5+E134-$B$5/24</f>
        <v>2459905.0125</v>
      </c>
      <c r="G134" s="9" t="n">
        <f aca="false">(F134-2451545)/36525</f>
        <v>0.228884668035597</v>
      </c>
      <c r="I134" s="0" t="n">
        <f aca="false">MOD(280.46646+G134*(36000.76983+G134*0.0003032),360)</f>
        <v>240.490727449589</v>
      </c>
      <c r="J134" s="0" t="n">
        <f aca="false">357.52911+G134*(35999.05029-0.0001537*G134)</f>
        <v>8597.15977717135</v>
      </c>
      <c r="K134" s="0" t="n">
        <f aca="false">0.016708634-G134*(0.000042037+0.0000001267*G134)</f>
        <v>0.016699005737626</v>
      </c>
      <c r="L134" s="0" t="n">
        <f aca="false">SIN(RADIANS(J134))*(1.914602-G134*(0.004817+0.000014*G134))+SIN(RADIANS(2*J134))*(0.019993-0.000101*G134)+SIN(RADIANS(3*J134))*0.000289</f>
        <v>-1.32123464952201</v>
      </c>
      <c r="M134" s="0" t="n">
        <f aca="false">I134+L134</f>
        <v>239.169492800067</v>
      </c>
      <c r="N134" s="0" t="n">
        <f aca="false">J134+L134</f>
        <v>8595.83854252183</v>
      </c>
      <c r="O134" s="0" t="n">
        <f aca="false">(1.000001018*(1-K134*K134))/(1+K134*COS(RADIANS(N134)))</f>
        <v>0.987887736939337</v>
      </c>
      <c r="P134" s="0" t="n">
        <f aca="false">M134-0.00569-0.00478*SIN(RADIANS(125.04-1934.136*G134))</f>
        <v>239.160582967564</v>
      </c>
      <c r="Q134" s="0" t="n">
        <f aca="false">23+(26+((21.448-G134*(46.815+G134*(0.00059-G134*0.001813))))/60)/60</f>
        <v>23.4363146541934</v>
      </c>
      <c r="R134" s="0" t="n">
        <f aca="false">Q134+0.00256*COS(RADIANS(125.04-1934.136*G134))</f>
        <v>23.4382067282403</v>
      </c>
      <c r="S134" s="0" t="n">
        <f aca="false">DEGREES(ATAN2(COS(RADIANS(P134)),COS(RADIANS(R134))*SIN(RADIANS(P134))))</f>
        <v>-123.053894810021</v>
      </c>
      <c r="T134" s="0" t="n">
        <f aca="false">DEGREES(ASIN(SIN(RADIANS(R134))*SIN(RADIANS(P134))))</f>
        <v>-19.9694780446577</v>
      </c>
      <c r="U134" s="0" t="n">
        <f aca="false">TAN(RADIANS(R134/2))*TAN(RADIANS(R134/2))</f>
        <v>0.0430304342529512</v>
      </c>
      <c r="V134" s="0" t="n">
        <f aca="false">4*DEGREES(U134*SIN(2*RADIANS(I134))-2*K134*SIN(RADIANS(J134))+4*K134*U134*SIN(RADIANS(J134))*COS(2*RADIANS(I134))-0.5*U134*U134*SIN(4*RADIANS(I134))-1.25*K134*K134*SIN(2*RADIANS(J134)))</f>
        <v>14.1569649716589</v>
      </c>
      <c r="W134" s="0" t="n">
        <f aca="false">DEGREES(ACOS(COS(RADIANS(90.833))/(COS(RADIANS($B$3))*COS(RADIANS(T134)))-TAN(RADIANS($B$3))*TAN(RADIANS(T134))))</f>
        <v>43.5504524863881</v>
      </c>
      <c r="X134" s="7" t="n">
        <f aca="false">(720-4*$B$4-V134+$B$5*60)/1440</f>
        <v>0.499904885436348</v>
      </c>
      <c r="Y134" s="7" t="n">
        <f aca="false">X134-W134*4/1440</f>
        <v>0.378931406307492</v>
      </c>
      <c r="Z134" s="7" t="n">
        <f aca="false">X134+W134*4/1440</f>
        <v>0.620878364565204</v>
      </c>
      <c r="AA134" s="10" t="n">
        <f aca="false">8*W134</f>
        <v>348.403619891105</v>
      </c>
      <c r="AB134" s="0" t="n">
        <f aca="false">MOD(E134*1440+V134+4*$B$4-60*$B$5,1440)</f>
        <v>798.136964971658</v>
      </c>
      <c r="AC134" s="0" t="n">
        <f aca="false">IF(AB134/4&lt;0,AB134/4+180,AB134/4-180)</f>
        <v>19.5342412429145</v>
      </c>
      <c r="AD134" s="0" t="n">
        <f aca="false">DEGREES(ACOS(SIN(RADIANS($B$3))*SIN(RADIANS(T134))+COS(RADIANS($B$3))*COS(RADIANS(T134))*COS(RADIANS(AC134))))</f>
        <v>85.7764508126663</v>
      </c>
      <c r="AE134" s="0" t="n">
        <f aca="false">90-AD134</f>
        <v>4.22354918733367</v>
      </c>
      <c r="AF134" s="0" t="n">
        <f aca="false">IF(AE134&gt;85,0,IF(AE134&gt;5,58.1/TAN(RADIANS(AE134))-0.07/POWER(TAN(RADIANS(AE134)),3)+0.000086/POWER(TAN(RADIANS(AE134)),5),IF(AE134&gt;-0.575,1735+AE134*(-518.2+AE134*(103.4+AE134*(-12.79+AE134*0.711))),-20.772/TAN(RADIANS(AE134)))))/3600</f>
        <v>0.181520894815324</v>
      </c>
      <c r="AG134" s="0" t="n">
        <f aca="false">AE134+AF134</f>
        <v>4.405070082149</v>
      </c>
      <c r="AH134" s="0" t="n">
        <f aca="false">IF(AC134&gt;0,MOD(DEGREES(ACOS(((SIN(RADIANS($B$3))*COS(RADIANS(AD134)))-SIN(RADIANS(T134)))/(COS(RADIANS($B$3))*SIN(RADIANS(AD134)))))+180,360),MOD(540-DEGREES(ACOS(((SIN(RADIANS($B$3))*COS(RADIANS(AD134)))-SIN(RADIANS(T134)))/(COS(RADIANS($B$3))*SIN(RADIANS(AD134))))),360))</f>
        <v>198.368167626541</v>
      </c>
    </row>
    <row r="135" customFormat="false" ht="15" hidden="false" customHeight="false" outlineLevel="0" collapsed="false">
      <c r="D135" s="6" t="n">
        <f aca="false">$B$7</f>
        <v>44886</v>
      </c>
      <c r="E135" s="7" t="n">
        <f aca="false">E134+0.1/24</f>
        <v>0.558333333333333</v>
      </c>
      <c r="F135" s="8" t="n">
        <f aca="false">D135+2415018.5+E135-$B$5/24</f>
        <v>2459905.01666667</v>
      </c>
      <c r="G135" s="9" t="n">
        <f aca="false">(F135-2451545)/36525</f>
        <v>0.228884782112707</v>
      </c>
      <c r="I135" s="0" t="n">
        <f aca="false">MOD(280.46646+G135*(36000.76983+G135*0.0003032),360)</f>
        <v>240.494834313362</v>
      </c>
      <c r="J135" s="0" t="n">
        <f aca="false">357.52911+G135*(35999.05029-0.0001537*G135)</f>
        <v>8597.16388383894</v>
      </c>
      <c r="K135" s="0" t="n">
        <f aca="false">0.016708634-G135*(0.000042037+0.0000001267*G135)</f>
        <v>0.0166990057328239</v>
      </c>
      <c r="L135" s="0" t="n">
        <f aca="false">SIN(RADIANS(J135))*(1.914602-G135*(0.004817+0.000014*G135))+SIN(RADIANS(2*J135))*(0.019993-0.000101*G135)+SIN(RADIANS(3*J135))*0.000289</f>
        <v>-1.32113390323002</v>
      </c>
      <c r="M135" s="0" t="n">
        <f aca="false">I135+L135</f>
        <v>239.173700410132</v>
      </c>
      <c r="N135" s="0" t="n">
        <f aca="false">J135+L135</f>
        <v>8595.84274993571</v>
      </c>
      <c r="O135" s="0" t="n">
        <f aca="false">(1.000001018*(1-K135*K135))/(1+K135*COS(RADIANS(N135)))</f>
        <v>0.987886902998038</v>
      </c>
      <c r="P135" s="0" t="n">
        <f aca="false">M135-0.00569-0.00478*SIN(RADIANS(125.04-1934.136*G135))</f>
        <v>239.164790591233</v>
      </c>
      <c r="Q135" s="0" t="n">
        <f aca="false">23+(26+((21.448-G135*(46.815+G135*(0.00059-G135*0.001813))))/60)/60</f>
        <v>23.4363146527099</v>
      </c>
      <c r="R135" s="0" t="n">
        <f aca="false">Q135+0.00256*COS(RADIANS(125.04-1934.136*G135))</f>
        <v>23.4382067333974</v>
      </c>
      <c r="S135" s="0" t="n">
        <f aca="false">DEGREES(ATAN2(COS(RADIANS(P135)),COS(RADIANS(R135))*SIN(RADIANS(P135))))</f>
        <v>-123.049524617761</v>
      </c>
      <c r="T135" s="0" t="n">
        <f aca="false">DEGREES(ASIN(SIN(RADIANS(R135))*SIN(RADIANS(P135))))</f>
        <v>-19.970390836077</v>
      </c>
      <c r="U135" s="0" t="n">
        <f aca="false">TAN(RADIANS(R135/2))*TAN(RADIANS(R135/2))</f>
        <v>0.0430304342724258</v>
      </c>
      <c r="V135" s="0" t="n">
        <f aca="false">4*DEGREES(U135*SIN(2*RADIANS(I135))-2*K135*SIN(RADIANS(J135))+4*K135*U135*SIN(RADIANS(J135))*COS(2*RADIANS(I135))-0.5*U135*U135*SIN(4*RADIANS(I135))-1.25*K135*K135*SIN(2*RADIANS(J135)))</f>
        <v>14.1558997952942</v>
      </c>
      <c r="W135" s="0" t="n">
        <f aca="false">DEGREES(ACOS(COS(RADIANS(90.833))/(COS(RADIANS($B$3))*COS(RADIANS(T135)))-TAN(RADIANS($B$3))*TAN(RADIANS(T135))))</f>
        <v>43.547330173604</v>
      </c>
      <c r="X135" s="7" t="n">
        <f aca="false">(720-4*$B$4-V135+$B$5*60)/1440</f>
        <v>0.499905625142157</v>
      </c>
      <c r="Y135" s="7" t="n">
        <f aca="false">X135-W135*4/1440</f>
        <v>0.378940819104368</v>
      </c>
      <c r="Z135" s="7" t="n">
        <f aca="false">X135+W135*4/1440</f>
        <v>0.620870431179946</v>
      </c>
      <c r="AA135" s="10" t="n">
        <f aca="false">8*W135</f>
        <v>348.378641388832</v>
      </c>
      <c r="AB135" s="0" t="n">
        <f aca="false">MOD(E135*1440+V135+4*$B$4-60*$B$5,1440)</f>
        <v>804.135899795293</v>
      </c>
      <c r="AC135" s="0" t="n">
        <f aca="false">IF(AB135/4&lt;0,AB135/4+180,AB135/4-180)</f>
        <v>21.0339749488233</v>
      </c>
      <c r="AD135" s="0" t="n">
        <f aca="false">DEGREES(ACOS(SIN(RADIANS($B$3))*SIN(RADIANS(T135))+COS(RADIANS($B$3))*COS(RADIANS(T135))*COS(RADIANS(AC135))))</f>
        <v>85.9885273202372</v>
      </c>
      <c r="AE135" s="0" t="n">
        <f aca="false">90-AD135</f>
        <v>4.0114726797628</v>
      </c>
      <c r="AF135" s="0" t="n">
        <f aca="false">IF(AE135&gt;85,0,IF(AE135&gt;5,58.1/TAN(RADIANS(AE135))-0.07/POWER(TAN(RADIANS(AE135)),3)+0.000086/POWER(TAN(RADIANS(AE135)),5),IF(AE135&gt;-0.575,1735+AE135*(-518.2+AE135*(103.4+AE135*(-12.79+AE135*0.711))),-20.772/TAN(RADIANS(AE135)))))/3600</f>
        <v>0.188513431114422</v>
      </c>
      <c r="AG135" s="0" t="n">
        <f aca="false">AE135+AF135</f>
        <v>4.19998611087723</v>
      </c>
      <c r="AH135" s="0" t="n">
        <f aca="false">IF(AC135&gt;0,MOD(DEGREES(ACOS(((SIN(RADIANS($B$3))*COS(RADIANS(AD135)))-SIN(RADIANS(T135)))/(COS(RADIANS($B$3))*SIN(RADIANS(AD135)))))+180,360),MOD(540-DEGREES(ACOS(((SIN(RADIANS($B$3))*COS(RADIANS(AD135)))-SIN(RADIANS(T135)))/(COS(RADIANS($B$3))*SIN(RADIANS(AD135))))),360))</f>
        <v>199.765282517348</v>
      </c>
    </row>
    <row r="136" customFormat="false" ht="15" hidden="false" customHeight="false" outlineLevel="0" collapsed="false">
      <c r="D136" s="6" t="n">
        <f aca="false">$B$7</f>
        <v>44886</v>
      </c>
      <c r="E136" s="7" t="n">
        <f aca="false">E135+0.1/24</f>
        <v>0.562499999999999</v>
      </c>
      <c r="F136" s="8" t="n">
        <f aca="false">D136+2415018.5+E136-$B$5/24</f>
        <v>2459905.02083333</v>
      </c>
      <c r="G136" s="9" t="n">
        <f aca="false">(F136-2451545)/36525</f>
        <v>0.228884896189829</v>
      </c>
      <c r="I136" s="0" t="n">
        <f aca="false">MOD(280.46646+G136*(36000.76983+G136*0.0003032),360)</f>
        <v>240.498941177593</v>
      </c>
      <c r="J136" s="0" t="n">
        <f aca="false">357.52911+G136*(35999.05029-0.0001537*G136)</f>
        <v>8597.16799050699</v>
      </c>
      <c r="K136" s="0" t="n">
        <f aca="false">0.016708634-G136*(0.000042037+0.0000001267*G136)</f>
        <v>0.0166990057280218</v>
      </c>
      <c r="L136" s="0" t="n">
        <f aca="false">SIN(RADIANS(J136))*(1.914602-G136*(0.004817+0.000014*G136))+SIN(RADIANS(2*J136))*(0.019993-0.000101*G136)+SIN(RADIANS(3*J136))*0.000289</f>
        <v>-1.32103314982374</v>
      </c>
      <c r="M136" s="0" t="n">
        <f aca="false">I136+L136</f>
        <v>239.17790802777</v>
      </c>
      <c r="N136" s="0" t="n">
        <f aca="false">J136+L136</f>
        <v>8595.84695735716</v>
      </c>
      <c r="O136" s="0" t="n">
        <f aca="false">(1.000001018*(1-K136*K136))/(1+K136*COS(RADIANS(N136)))</f>
        <v>0.987886069119713</v>
      </c>
      <c r="P136" s="0" t="n">
        <f aca="false">M136-0.00569-0.00478*SIN(RADIANS(125.04-1934.136*G136))</f>
        <v>239.168998222475</v>
      </c>
      <c r="Q136" s="0" t="n">
        <f aca="false">23+(26+((21.448-G136*(46.815+G136*(0.00059-G136*0.001813))))/60)/60</f>
        <v>23.4363146512265</v>
      </c>
      <c r="R136" s="0" t="n">
        <f aca="false">Q136+0.00256*COS(RADIANS(125.04-1934.136*G136))</f>
        <v>23.4382067385545</v>
      </c>
      <c r="S136" s="0" t="n">
        <f aca="false">DEGREES(ATAN2(COS(RADIANS(P136)),COS(RADIANS(R136))*SIN(RADIANS(P136))))</f>
        <v>-123.045154367039</v>
      </c>
      <c r="T136" s="0" t="n">
        <f aca="false">DEGREES(ASIN(SIN(RADIANS(R136))*SIN(RADIANS(P136))))</f>
        <v>-19.9713035221388</v>
      </c>
      <c r="U136" s="0" t="n">
        <f aca="false">TAN(RADIANS(R136/2))*TAN(RADIANS(R136/2))</f>
        <v>0.0430304342919004</v>
      </c>
      <c r="V136" s="0" t="n">
        <f aca="false">4*DEGREES(U136*SIN(2*RADIANS(I136))-2*K136*SIN(RADIANS(J136))+4*K136*U136*SIN(RADIANS(J136))*COS(2*RADIANS(I136))-0.5*U136*U136*SIN(4*RADIANS(I136))-1.25*K136*K136*SIN(2*RADIANS(J136)))</f>
        <v>14.1548343868649</v>
      </c>
      <c r="W136" s="0" t="n">
        <f aca="false">DEGREES(ACOS(COS(RADIANS(90.833))/(COS(RADIANS($B$3))*COS(RADIANS(T136)))-TAN(RADIANS($B$3))*TAN(RADIANS(T136))))</f>
        <v>43.5442080068344</v>
      </c>
      <c r="X136" s="7" t="n">
        <f aca="false">(720-4*$B$4-V136+$B$5*60)/1440</f>
        <v>0.499906365009122</v>
      </c>
      <c r="Y136" s="7" t="n">
        <f aca="false">X136-W136*4/1440</f>
        <v>0.378950231656804</v>
      </c>
      <c r="Z136" s="7" t="n">
        <f aca="false">X136+W136*4/1440</f>
        <v>0.62086249836144</v>
      </c>
      <c r="AA136" s="10" t="n">
        <f aca="false">8*W136</f>
        <v>348.353664054675</v>
      </c>
      <c r="AB136" s="0" t="n">
        <f aca="false">MOD(E136*1440+V136+4*$B$4-60*$B$5,1440)</f>
        <v>810.134834386864</v>
      </c>
      <c r="AC136" s="0" t="n">
        <f aca="false">IF(AB136/4&lt;0,AB136/4+180,AB136/4-180)</f>
        <v>22.5337085967159</v>
      </c>
      <c r="AD136" s="0" t="n">
        <f aca="false">DEGREES(ACOS(SIN(RADIANS($B$3))*SIN(RADIANS(T136))+COS(RADIANS($B$3))*COS(RADIANS(T136))*COS(RADIANS(AC136))))</f>
        <v>86.2154218430133</v>
      </c>
      <c r="AE136" s="0" t="n">
        <f aca="false">90-AD136</f>
        <v>3.78457815698667</v>
      </c>
      <c r="AF136" s="0" t="n">
        <f aca="false">IF(AE136&gt;85,0,IF(AE136&gt;5,58.1/TAN(RADIANS(AE136))-0.07/POWER(TAN(RADIANS(AE136)),3)+0.000086/POWER(TAN(RADIANS(AE136)),5),IF(AE136&gt;-0.575,1735+AE136*(-518.2+AE136*(103.4+AE136*(-12.79+AE136*0.711))),-20.772/TAN(RADIANS(AE136)))))/3600</f>
        <v>0.196497599707952</v>
      </c>
      <c r="AG136" s="0" t="n">
        <f aca="false">AE136+AF136</f>
        <v>3.98107575669462</v>
      </c>
      <c r="AH136" s="0" t="n">
        <f aca="false">IF(AC136&gt;0,MOD(DEGREES(ACOS(((SIN(RADIANS($B$3))*COS(RADIANS(AD136)))-SIN(RADIANS(T136)))/(COS(RADIANS($B$3))*SIN(RADIANS(AD136)))))+180,360),MOD(540-DEGREES(ACOS(((SIN(RADIANS($B$3))*COS(RADIANS(AD136)))-SIN(RADIANS(T136)))/(COS(RADIANS($B$3))*SIN(RADIANS(AD136))))),360))</f>
        <v>201.15967293645</v>
      </c>
    </row>
    <row r="137" customFormat="false" ht="15" hidden="false" customHeight="false" outlineLevel="0" collapsed="false">
      <c r="D137" s="6" t="n">
        <f aca="false">$B$7</f>
        <v>44886</v>
      </c>
      <c r="E137" s="7" t="n">
        <f aca="false">E136+0.1/24</f>
        <v>0.566666666666666</v>
      </c>
      <c r="F137" s="8" t="n">
        <f aca="false">D137+2415018.5+E137-$B$5/24</f>
        <v>2459905.025</v>
      </c>
      <c r="G137" s="9" t="n">
        <f aca="false">(F137-2451545)/36525</f>
        <v>0.228885010266951</v>
      </c>
      <c r="I137" s="0" t="n">
        <f aca="false">MOD(280.46646+G137*(36000.76983+G137*0.0003032),360)</f>
        <v>240.503048041825</v>
      </c>
      <c r="J137" s="0" t="n">
        <f aca="false">357.52911+G137*(35999.05029-0.0001537*G137)</f>
        <v>8597.17209717503</v>
      </c>
      <c r="K137" s="0" t="n">
        <f aca="false">0.016708634-G137*(0.000042037+0.0000001267*G137)</f>
        <v>0.0166990057232197</v>
      </c>
      <c r="L137" s="0" t="n">
        <f aca="false">SIN(RADIANS(J137))*(1.914602-G137*(0.004817+0.000014*G137))+SIN(RADIANS(2*J137))*(0.019993-0.000101*G137)+SIN(RADIANS(3*J137))*0.000289</f>
        <v>-1.32093238931465</v>
      </c>
      <c r="M137" s="0" t="n">
        <f aca="false">I137+L137</f>
        <v>239.18211565251</v>
      </c>
      <c r="N137" s="0" t="n">
        <f aca="false">J137+L137</f>
        <v>8595.85116478572</v>
      </c>
      <c r="O137" s="0" t="n">
        <f aca="false">(1.000001018*(1-K137*K137))/(1+K137*COS(RADIANS(N137)))</f>
        <v>0.987885235304457</v>
      </c>
      <c r="P137" s="0" t="n">
        <f aca="false">M137-0.00569-0.00478*SIN(RADIANS(125.04-1934.136*G137))</f>
        <v>239.173205860821</v>
      </c>
      <c r="Q137" s="0" t="n">
        <f aca="false">23+(26+((21.448-G137*(46.815+G137*(0.00059-G137*0.001813))))/60)/60</f>
        <v>23.436314649743</v>
      </c>
      <c r="R137" s="0" t="n">
        <f aca="false">Q137+0.00256*COS(RADIANS(125.04-1934.136*G137))</f>
        <v>23.4382067437116</v>
      </c>
      <c r="S137" s="0" t="n">
        <f aca="false">DEGREES(ATAN2(COS(RADIANS(P137)),COS(RADIANS(R137))*SIN(RADIANS(P137))))</f>
        <v>-123.040784058345</v>
      </c>
      <c r="T137" s="0" t="n">
        <f aca="false">DEGREES(ASIN(SIN(RADIANS(R137))*SIN(RADIANS(P137))))</f>
        <v>-19.9722161027339</v>
      </c>
      <c r="U137" s="0" t="n">
        <f aca="false">TAN(RADIANS(R137/2))*TAN(RADIANS(R137/2))</f>
        <v>0.0430304343113748</v>
      </c>
      <c r="V137" s="0" t="n">
        <f aca="false">4*DEGREES(U137*SIN(2*RADIANS(I137))-2*K137*SIN(RADIANS(J137))+4*K137*U137*SIN(RADIANS(J137))*COS(2*RADIANS(I137))-0.5*U137*U137*SIN(4*RADIANS(I137))-1.25*K137*K137*SIN(2*RADIANS(J137)))</f>
        <v>14.1537687465024</v>
      </c>
      <c r="W137" s="0" t="n">
        <f aca="false">DEGREES(ACOS(COS(RADIANS(90.833))/(COS(RADIANS($B$3))*COS(RADIANS(T137)))-TAN(RADIANS($B$3))*TAN(RADIANS(T137))))</f>
        <v>43.5410859864782</v>
      </c>
      <c r="X137" s="7" t="n">
        <f aca="false">(720-4*$B$4-V137+$B$5*60)/1440</f>
        <v>0.499907105037151</v>
      </c>
      <c r="Y137" s="7" t="n">
        <f aca="false">X137-W137*4/1440</f>
        <v>0.378959643963601</v>
      </c>
      <c r="Z137" s="7" t="n">
        <f aca="false">X137+W137*4/1440</f>
        <v>0.620854566110702</v>
      </c>
      <c r="AA137" s="10" t="n">
        <f aca="false">8*W137</f>
        <v>348.328687891826</v>
      </c>
      <c r="AB137" s="0" t="n">
        <f aca="false">MOD(E137*1440+V137+4*$B$4-60*$B$5,1440)</f>
        <v>816.133768746501</v>
      </c>
      <c r="AC137" s="0" t="n">
        <f aca="false">IF(AB137/4&lt;0,AB137/4+180,AB137/4-180)</f>
        <v>24.0334421866253</v>
      </c>
      <c r="AD137" s="0" t="n">
        <f aca="false">DEGREES(ACOS(SIN(RADIANS($B$3))*SIN(RADIANS(T137))+COS(RADIANS($B$3))*COS(RADIANS(T137))*COS(RADIANS(AC137))))</f>
        <v>86.4569709445034</v>
      </c>
      <c r="AE137" s="0" t="n">
        <f aca="false">90-AD137</f>
        <v>3.5430290554966</v>
      </c>
      <c r="AF137" s="0" t="n">
        <f aca="false">IF(AE137&gt;85,0,IF(AE137&gt;5,58.1/TAN(RADIANS(AE137))-0.07/POWER(TAN(RADIANS(AE137)),3)+0.000086/POWER(TAN(RADIANS(AE137)),5),IF(AE137&gt;-0.575,1735+AE137*(-518.2+AE137*(103.4+AE137*(-12.79+AE137*0.711))),-20.772/TAN(RADIANS(AE137)))))/3600</f>
        <v>0.205605847282812</v>
      </c>
      <c r="AG137" s="0" t="n">
        <f aca="false">AE137+AF137</f>
        <v>3.74863490277942</v>
      </c>
      <c r="AH137" s="0" t="n">
        <f aca="false">IF(AC137&gt;0,MOD(DEGREES(ACOS(((SIN(RADIANS($B$3))*COS(RADIANS(AD137)))-SIN(RADIANS(T137)))/(COS(RADIANS($B$3))*SIN(RADIANS(AD137)))))+180,360),MOD(540-DEGREES(ACOS(((SIN(RADIANS($B$3))*COS(RADIANS(AD137)))-SIN(RADIANS(T137)))/(COS(RADIANS($B$3))*SIN(RADIANS(AD137))))),360))</f>
        <v>202.551203900565</v>
      </c>
    </row>
    <row r="138" customFormat="false" ht="15" hidden="false" customHeight="false" outlineLevel="0" collapsed="false">
      <c r="D138" s="6" t="n">
        <f aca="false">$B$7</f>
        <v>44886</v>
      </c>
      <c r="E138" s="7" t="n">
        <f aca="false">E137+0.1/24</f>
        <v>0.570833333333333</v>
      </c>
      <c r="F138" s="8" t="n">
        <f aca="false">D138+2415018.5+E138-$B$5/24</f>
        <v>2459905.02916667</v>
      </c>
      <c r="G138" s="9" t="n">
        <f aca="false">(F138-2451545)/36525</f>
        <v>0.22888512434406</v>
      </c>
      <c r="I138" s="0" t="n">
        <f aca="false">MOD(280.46646+G138*(36000.76983+G138*0.0003032),360)</f>
        <v>240.507154905594</v>
      </c>
      <c r="J138" s="0" t="n">
        <f aca="false">357.52911+G138*(35999.05029-0.0001537*G138)</f>
        <v>8597.17620384262</v>
      </c>
      <c r="K138" s="0" t="n">
        <f aca="false">0.016708634-G138*(0.000042037+0.0000001267*G138)</f>
        <v>0.0166990057184177</v>
      </c>
      <c r="L138" s="0" t="n">
        <f aca="false">SIN(RADIANS(J138))*(1.914602-G138*(0.004817+0.000014*G138))+SIN(RADIANS(2*J138))*(0.019993-0.000101*G138)+SIN(RADIANS(3*J138))*0.000289</f>
        <v>-1.32083162171473</v>
      </c>
      <c r="M138" s="0" t="n">
        <f aca="false">I138+L138</f>
        <v>239.186323283879</v>
      </c>
      <c r="N138" s="0" t="n">
        <f aca="false">J138+L138</f>
        <v>8595.85537222091</v>
      </c>
      <c r="O138" s="0" t="n">
        <f aca="false">(1.000001018*(1-K138*K138))/(1+K138*COS(RADIANS(N138)))</f>
        <v>0.98788440155237</v>
      </c>
      <c r="P138" s="0" t="n">
        <f aca="false">M138-0.00569-0.00478*SIN(RADIANS(125.04-1934.136*G138))</f>
        <v>239.177413505795</v>
      </c>
      <c r="Q138" s="0" t="n">
        <f aca="false">23+(26+((21.448-G138*(46.815+G138*(0.00059-G138*0.001813))))/60)/60</f>
        <v>23.4363146482595</v>
      </c>
      <c r="R138" s="0" t="n">
        <f aca="false">Q138+0.00256*COS(RADIANS(125.04-1934.136*G138))</f>
        <v>23.4382067488686</v>
      </c>
      <c r="S138" s="0" t="n">
        <f aca="false">DEGREES(ATAN2(COS(RADIANS(P138)),COS(RADIANS(R138))*SIN(RADIANS(P138))))</f>
        <v>-123.036413692175</v>
      </c>
      <c r="T138" s="0" t="n">
        <f aca="false">DEGREES(ASIN(SIN(RADIANS(R138))*SIN(RADIANS(P138))))</f>
        <v>-19.9731285777527</v>
      </c>
      <c r="U138" s="0" t="n">
        <f aca="false">TAN(RADIANS(R138/2))*TAN(RADIANS(R138/2))</f>
        <v>0.0430304343308492</v>
      </c>
      <c r="V138" s="0" t="n">
        <f aca="false">4*DEGREES(U138*SIN(2*RADIANS(I138))-2*K138*SIN(RADIANS(J138))+4*K138*U138*SIN(RADIANS(J138))*COS(2*RADIANS(I138))-0.5*U138*U138*SIN(4*RADIANS(I138))-1.25*K138*K138*SIN(2*RADIANS(J138)))</f>
        <v>14.1527028743413</v>
      </c>
      <c r="W138" s="0" t="n">
        <f aca="false">DEGREES(ACOS(COS(RADIANS(90.833))/(COS(RADIANS($B$3))*COS(RADIANS(T138)))-TAN(RADIANS($B$3))*TAN(RADIANS(T138))))</f>
        <v>43.5379641129372</v>
      </c>
      <c r="X138" s="7" t="n">
        <f aca="false">(720-4*$B$4-V138+$B$5*60)/1440</f>
        <v>0.499907845226152</v>
      </c>
      <c r="Y138" s="7" t="n">
        <f aca="false">X138-W138*4/1440</f>
        <v>0.378969056023549</v>
      </c>
      <c r="Z138" s="7" t="n">
        <f aca="false">X138+W138*4/1440</f>
        <v>0.620846634428755</v>
      </c>
      <c r="AA138" s="10" t="n">
        <f aca="false">8*W138</f>
        <v>348.303712903497</v>
      </c>
      <c r="AB138" s="0" t="n">
        <f aca="false">MOD(E138*1440+V138+4*$B$4-60*$B$5,1440)</f>
        <v>822.13270287434</v>
      </c>
      <c r="AC138" s="0" t="n">
        <f aca="false">IF(AB138/4&lt;0,AB138/4+180,AB138/4-180)</f>
        <v>25.533175718585</v>
      </c>
      <c r="AD138" s="0" t="n">
        <f aca="false">DEGREES(ACOS(SIN(RADIANS($B$3))*SIN(RADIANS(T138))+COS(RADIANS($B$3))*COS(RADIANS(T138))*COS(RADIANS(AC138))))</f>
        <v>86.7130020160986</v>
      </c>
      <c r="AE138" s="0" t="n">
        <f aca="false">90-AD138</f>
        <v>3.28699798390144</v>
      </c>
      <c r="AF138" s="0" t="n">
        <f aca="false">IF(AE138&gt;85,0,IF(AE138&gt;5,58.1/TAN(RADIANS(AE138))-0.07/POWER(TAN(RADIANS(AE138)),3)+0.000086/POWER(TAN(RADIANS(AE138)),5),IF(AE138&gt;-0.575,1735+AE138*(-518.2+AE138*(103.4+AE138*(-12.79+AE138*0.711))),-20.772/TAN(RADIANS(AE138)))))/3600</f>
        <v>0.216006458901284</v>
      </c>
      <c r="AG138" s="0" t="n">
        <f aca="false">AE138+AF138</f>
        <v>3.50300444280273</v>
      </c>
      <c r="AH138" s="0" t="n">
        <f aca="false">IF(AC138&gt;0,MOD(DEGREES(ACOS(((SIN(RADIANS($B$3))*COS(RADIANS(AD138)))-SIN(RADIANS(T138)))/(COS(RADIANS($B$3))*SIN(RADIANS(AD138)))))+180,360),MOD(540-DEGREES(ACOS(((SIN(RADIANS($B$3))*COS(RADIANS(AD138)))-SIN(RADIANS(T138)))/(COS(RADIANS($B$3))*SIN(RADIANS(AD138))))),360))</f>
        <v>203.939751351035</v>
      </c>
    </row>
    <row r="139" customFormat="false" ht="15" hidden="false" customHeight="false" outlineLevel="0" collapsed="false">
      <c r="D139" s="6" t="n">
        <f aca="false">$B$7</f>
        <v>44886</v>
      </c>
      <c r="E139" s="7" t="n">
        <f aca="false">E138+0.1/24</f>
        <v>0.574999999999999</v>
      </c>
      <c r="F139" s="8" t="n">
        <f aca="false">D139+2415018.5+E139-$B$5/24</f>
        <v>2459905.03333333</v>
      </c>
      <c r="G139" s="9" t="n">
        <f aca="false">(F139-2451545)/36525</f>
        <v>0.228885238421182</v>
      </c>
      <c r="I139" s="0" t="n">
        <f aca="false">MOD(280.46646+G139*(36000.76983+G139*0.0003032),360)</f>
        <v>240.511261769825</v>
      </c>
      <c r="J139" s="0" t="n">
        <f aca="false">357.52911+G139*(35999.05029-0.0001537*G139)</f>
        <v>8597.18031051067</v>
      </c>
      <c r="K139" s="0" t="n">
        <f aca="false">0.016708634-G139*(0.000042037+0.0000001267*G139)</f>
        <v>0.0166990057136156</v>
      </c>
      <c r="L139" s="0" t="n">
        <f aca="false">SIN(RADIANS(J139))*(1.914602-G139*(0.004817+0.000014*G139))+SIN(RADIANS(2*J139))*(0.019993-0.000101*G139)+SIN(RADIANS(3*J139))*0.000289</f>
        <v>-1.320730847002</v>
      </c>
      <c r="M139" s="0" t="n">
        <f aca="false">I139+L139</f>
        <v>239.190530922823</v>
      </c>
      <c r="N139" s="0" t="n">
        <f aca="false">J139+L139</f>
        <v>8595.85957966366</v>
      </c>
      <c r="O139" s="0" t="n">
        <f aca="false">(1.000001018*(1-K139*K139))/(1+K139*COS(RADIANS(N139)))</f>
        <v>0.98788356786327</v>
      </c>
      <c r="P139" s="0" t="n">
        <f aca="false">M139-0.00569-0.00478*SIN(RADIANS(125.04-1934.136*G139))</f>
        <v>239.181621158344</v>
      </c>
      <c r="Q139" s="0" t="n">
        <f aca="false">23+(26+((21.448-G139*(46.815+G139*(0.00059-G139*0.001813))))/60)/60</f>
        <v>23.436314646776</v>
      </c>
      <c r="R139" s="0" t="n">
        <f aca="false">Q139+0.00256*COS(RADIANS(125.04-1934.136*G139))</f>
        <v>23.4382067540256</v>
      </c>
      <c r="S139" s="0" t="n">
        <f aca="false">DEGREES(ATAN2(COS(RADIANS(P139)),COS(RADIANS(R139))*SIN(RADIANS(P139))))</f>
        <v>-123.032043267548</v>
      </c>
      <c r="T139" s="0" t="n">
        <f aca="false">DEGREES(ASIN(SIN(RADIANS(R139))*SIN(RADIANS(P139))))</f>
        <v>-19.974040947393</v>
      </c>
      <c r="U139" s="0" t="n">
        <f aca="false">TAN(RADIANS(R139/2))*TAN(RADIANS(R139/2))</f>
        <v>0.0430304343503234</v>
      </c>
      <c r="V139" s="0" t="n">
        <f aca="false">4*DEGREES(U139*SIN(2*RADIANS(I139))-2*K139*SIN(RADIANS(J139))+4*K139*U139*SIN(RADIANS(J139))*COS(2*RADIANS(I139))-0.5*U139*U139*SIN(4*RADIANS(I139))-1.25*K139*K139*SIN(2*RADIANS(J139)))</f>
        <v>14.1516367701562</v>
      </c>
      <c r="W139" s="0" t="n">
        <f aca="false">DEGREES(ACOS(COS(RADIANS(90.833))/(COS(RADIANS($B$3))*COS(RADIANS(T139)))-TAN(RADIANS($B$3))*TAN(RADIANS(T139))))</f>
        <v>43.5348423855598</v>
      </c>
      <c r="X139" s="7" t="n">
        <f aca="false">(720-4*$B$4-V139+$B$5*60)/1440</f>
        <v>0.49990858557628</v>
      </c>
      <c r="Y139" s="7" t="n">
        <f aca="false">X139-W139*4/1440</f>
        <v>0.378978467838614</v>
      </c>
      <c r="Z139" s="7" t="n">
        <f aca="false">X139+W139*4/1440</f>
        <v>0.620838703313947</v>
      </c>
      <c r="AA139" s="10" t="n">
        <f aca="false">8*W139</f>
        <v>348.278739084478</v>
      </c>
      <c r="AB139" s="0" t="n">
        <f aca="false">MOD(E139*1440+V139+4*$B$4-60*$B$5,1440)</f>
        <v>828.131636770155</v>
      </c>
      <c r="AC139" s="0" t="n">
        <f aca="false">IF(AB139/4&lt;0,AB139/4+180,AB139/4-180)</f>
        <v>27.0329091925388</v>
      </c>
      <c r="AD139" s="0" t="n">
        <f aca="false">DEGREES(ACOS(SIN(RADIANS($B$3))*SIN(RADIANS(T139))+COS(RADIANS($B$3))*COS(RADIANS(T139))*COS(RADIANS(AC139))))</f>
        <v>86.9833336346898</v>
      </c>
      <c r="AE139" s="0" t="n">
        <f aca="false">90-AD139</f>
        <v>3.01666636531023</v>
      </c>
      <c r="AF139" s="0" t="n">
        <f aca="false">IF(AE139&gt;85,0,IF(AE139&gt;5,58.1/TAN(RADIANS(AE139))-0.07/POWER(TAN(RADIANS(AE139)),3)+0.000086/POWER(TAN(RADIANS(AE139)),5),IF(AE139&gt;-0.575,1735+AE139*(-518.2+AE139*(103.4+AE139*(-12.79+AE139*0.711))),-20.772/TAN(RADIANS(AE139)))))/3600</f>
        <v>0.227915576599641</v>
      </c>
      <c r="AG139" s="0" t="n">
        <f aca="false">AE139+AF139</f>
        <v>3.24458194190987</v>
      </c>
      <c r="AH139" s="0" t="n">
        <f aca="false">IF(AC139&gt;0,MOD(DEGREES(ACOS(((SIN(RADIANS($B$3))*COS(RADIANS(AD139)))-SIN(RADIANS(T139)))/(COS(RADIANS($B$3))*SIN(RADIANS(AD139)))))+180,360),MOD(540-DEGREES(ACOS(((SIN(RADIANS($B$3))*COS(RADIANS(AD139)))-SIN(RADIANS(T139)))/(COS(RADIANS($B$3))*SIN(RADIANS(AD139))))),360))</f>
        <v>205.325202578273</v>
      </c>
    </row>
    <row r="140" customFormat="false" ht="15" hidden="false" customHeight="false" outlineLevel="0" collapsed="false">
      <c r="D140" s="6" t="n">
        <f aca="false">$B$7</f>
        <v>44886</v>
      </c>
      <c r="E140" s="7" t="n">
        <f aca="false">E139+0.1/24</f>
        <v>0.579166666666666</v>
      </c>
      <c r="F140" s="8" t="n">
        <f aca="false">D140+2415018.5+E140-$B$5/24</f>
        <v>2459905.0375</v>
      </c>
      <c r="G140" s="9" t="n">
        <f aca="false">(F140-2451545)/36525</f>
        <v>0.228885352498291</v>
      </c>
      <c r="I140" s="0" t="n">
        <f aca="false">MOD(280.46646+G140*(36000.76983+G140*0.0003032),360)</f>
        <v>240.515368633598</v>
      </c>
      <c r="J140" s="0" t="n">
        <f aca="false">357.52911+G140*(35999.05029-0.0001537*G140)</f>
        <v>8597.18441717826</v>
      </c>
      <c r="K140" s="0" t="n">
        <f aca="false">0.016708634-G140*(0.000042037+0.0000001267*G140)</f>
        <v>0.0166990057088135</v>
      </c>
      <c r="L140" s="0" t="n">
        <f aca="false">SIN(RADIANS(J140))*(1.914602-G140*(0.004817+0.000014*G140))+SIN(RADIANS(2*J140))*(0.019993-0.000101*G140)+SIN(RADIANS(3*J140))*0.000289</f>
        <v>-1.32063006519932</v>
      </c>
      <c r="M140" s="0" t="n">
        <f aca="false">I140+L140</f>
        <v>239.194738568399</v>
      </c>
      <c r="N140" s="0" t="n">
        <f aca="false">J140+L140</f>
        <v>8595.86378711306</v>
      </c>
      <c r="O140" s="0" t="n">
        <f aca="false">(1.000001018*(1-K140*K140))/(1+K140*COS(RADIANS(N140)))</f>
        <v>0.987882734237347</v>
      </c>
      <c r="P140" s="0" t="n">
        <f aca="false">M140-0.00569-0.00478*SIN(RADIANS(125.04-1934.136*G140))</f>
        <v>239.185828817524</v>
      </c>
      <c r="Q140" s="0" t="n">
        <f aca="false">23+(26+((21.448-G140*(46.815+G140*(0.00059-G140*0.001813))))/60)/60</f>
        <v>23.4363146452926</v>
      </c>
      <c r="R140" s="0" t="n">
        <f aca="false">Q140+0.00256*COS(RADIANS(125.04-1934.136*G140))</f>
        <v>23.4382067591826</v>
      </c>
      <c r="S140" s="0" t="n">
        <f aca="false">DEGREES(ATAN2(COS(RADIANS(P140)),COS(RADIANS(R140))*SIN(RADIANS(P140))))</f>
        <v>-123.027672785446</v>
      </c>
      <c r="T140" s="0" t="n">
        <f aca="false">DEGREES(ASIN(SIN(RADIANS(R140))*SIN(RADIANS(P140))))</f>
        <v>-19.9749532114433</v>
      </c>
      <c r="U140" s="0" t="n">
        <f aca="false">TAN(RADIANS(R140/2))*TAN(RADIANS(R140/2))</f>
        <v>0.0430304343697975</v>
      </c>
      <c r="V140" s="0" t="n">
        <f aca="false">4*DEGREES(U140*SIN(2*RADIANS(I140))-2*K140*SIN(RADIANS(J140))+4*K140*U140*SIN(RADIANS(J140))*COS(2*RADIANS(I140))-0.5*U140*U140*SIN(4*RADIANS(I140))-1.25*K140*K140*SIN(2*RADIANS(J140)))</f>
        <v>14.150570434199</v>
      </c>
      <c r="W140" s="0" t="n">
        <f aca="false">DEGREES(ACOS(COS(RADIANS(90.833))/(COS(RADIANS($B$3))*COS(RADIANS(T140)))-TAN(RADIANS($B$3))*TAN(RADIANS(T140))))</f>
        <v>43.5317208050961</v>
      </c>
      <c r="X140" s="7" t="n">
        <f aca="false">(720-4*$B$4-V140+$B$5*60)/1440</f>
        <v>0.499909326087362</v>
      </c>
      <c r="Y140" s="7" t="n">
        <f aca="false">X140-W140*4/1440</f>
        <v>0.378987879406539</v>
      </c>
      <c r="Z140" s="7" t="n">
        <f aca="false">X140+W140*4/1440</f>
        <v>0.620830772768184</v>
      </c>
      <c r="AA140" s="10" t="n">
        <f aca="false">8*W140</f>
        <v>348.253766440769</v>
      </c>
      <c r="AB140" s="0" t="n">
        <f aca="false">MOD(E140*1440+V140+4*$B$4-60*$B$5,1440)</f>
        <v>834.130570434198</v>
      </c>
      <c r="AC140" s="0" t="n">
        <f aca="false">IF(AB140/4&lt;0,AB140/4+180,AB140/4-180)</f>
        <v>28.5326426085495</v>
      </c>
      <c r="AD140" s="0" t="n">
        <f aca="false">DEGREES(ACOS(SIN(RADIANS($B$3))*SIN(RADIANS(T140))+COS(RADIANS($B$3))*COS(RADIANS(T140))*COS(RADIANS(AC140))))</f>
        <v>87.2677759271261</v>
      </c>
      <c r="AE140" s="0" t="n">
        <f aca="false">90-AD140</f>
        <v>2.73222407287393</v>
      </c>
      <c r="AF140" s="0" t="n">
        <f aca="false">IF(AE140&gt;85,0,IF(AE140&gt;5,58.1/TAN(RADIANS(AE140))-0.07/POWER(TAN(RADIANS(AE140)),3)+0.000086/POWER(TAN(RADIANS(AE140)),5),IF(AE140&gt;-0.575,1735+AE140*(-518.2+AE140*(103.4+AE140*(-12.79+AE140*0.711))),-20.772/TAN(RADIANS(AE140)))))/3600</f>
        <v>0.241611706413087</v>
      </c>
      <c r="AG140" s="0" t="n">
        <f aca="false">AE140+AF140</f>
        <v>2.97383577928702</v>
      </c>
      <c r="AH140" s="0" t="n">
        <f aca="false">IF(AC140&gt;0,MOD(DEGREES(ACOS(((SIN(RADIANS($B$3))*COS(RADIANS(AD140)))-SIN(RADIANS(T140)))/(COS(RADIANS($B$3))*SIN(RADIANS(AD140)))))+180,360),MOD(540-DEGREES(ACOS(((SIN(RADIANS($B$3))*COS(RADIANS(AD140)))-SIN(RADIANS(T140)))/(COS(RADIANS($B$3))*SIN(RADIANS(AD140))))),360))</f>
        <v>206.707456600739</v>
      </c>
    </row>
    <row r="141" customFormat="false" ht="15" hidden="false" customHeight="false" outlineLevel="0" collapsed="false">
      <c r="D141" s="6" t="n">
        <f aca="false">$B$7</f>
        <v>44886</v>
      </c>
      <c r="E141" s="7" t="n">
        <f aca="false">E140+0.1/24</f>
        <v>0.583333333333333</v>
      </c>
      <c r="F141" s="8" t="n">
        <f aca="false">D141+2415018.5+E141-$B$5/24</f>
        <v>2459905.04166667</v>
      </c>
      <c r="G141" s="9" t="n">
        <f aca="false">(F141-2451545)/36525</f>
        <v>0.228885466575413</v>
      </c>
      <c r="I141" s="0" t="n">
        <f aca="false">MOD(280.46646+G141*(36000.76983+G141*0.0003032),360)</f>
        <v>240.519475497829</v>
      </c>
      <c r="J141" s="0" t="n">
        <f aca="false">357.52911+G141*(35999.05029-0.0001537*G141)</f>
        <v>8597.1885238463</v>
      </c>
      <c r="K141" s="0" t="n">
        <f aca="false">0.016708634-G141*(0.000042037+0.0000001267*G141)</f>
        <v>0.0166990057040114</v>
      </c>
      <c r="L141" s="0" t="n">
        <f aca="false">SIN(RADIANS(J141))*(1.914602-G141*(0.004817+0.000014*G141))+SIN(RADIANS(2*J141))*(0.019993-0.000101*G141)+SIN(RADIANS(3*J141))*0.000289</f>
        <v>-1.32052927628483</v>
      </c>
      <c r="M141" s="0" t="n">
        <f aca="false">I141+L141</f>
        <v>239.198946221544</v>
      </c>
      <c r="N141" s="0" t="n">
        <f aca="false">J141+L141</f>
        <v>8595.86799457002</v>
      </c>
      <c r="O141" s="0" t="n">
        <f aca="false">(1.000001018*(1-K141*K141))/(1+K141*COS(RADIANS(N141)))</f>
        <v>0.987881900674419</v>
      </c>
      <c r="P141" s="0" t="n">
        <f aca="false">M141-0.00569-0.00478*SIN(RADIANS(125.04-1934.136*G141))</f>
        <v>239.190036484275</v>
      </c>
      <c r="Q141" s="0" t="n">
        <f aca="false">23+(26+((21.448-G141*(46.815+G141*(0.00059-G141*0.001813))))/60)/60</f>
        <v>23.4363146438091</v>
      </c>
      <c r="R141" s="0" t="n">
        <f aca="false">Q141+0.00256*COS(RADIANS(125.04-1934.136*G141))</f>
        <v>23.4382067643396</v>
      </c>
      <c r="S141" s="0" t="n">
        <f aca="false">DEGREES(ATAN2(COS(RADIANS(P141)),COS(RADIANS(R141))*SIN(RADIANS(P141))))</f>
        <v>-123.023302244898</v>
      </c>
      <c r="T141" s="0" t="n">
        <f aca="false">DEGREES(ASIN(SIN(RADIANS(R141))*SIN(RADIANS(P141))))</f>
        <v>-19.9758653701</v>
      </c>
      <c r="U141" s="0" t="n">
        <f aca="false">TAN(RADIANS(R141/2))*TAN(RADIANS(R141/2))</f>
        <v>0.0430304343892715</v>
      </c>
      <c r="V141" s="0" t="n">
        <f aca="false">4*DEGREES(U141*SIN(2*RADIANS(I141))-2*K141*SIN(RADIANS(J141))+4*K141*U141*SIN(RADIANS(J141))*COS(2*RADIANS(I141))-0.5*U141*U141*SIN(4*RADIANS(I141))-1.25*K141*K141*SIN(2*RADIANS(J141)))</f>
        <v>14.1495038662462</v>
      </c>
      <c r="W141" s="0" t="n">
        <f aca="false">DEGREES(ACOS(COS(RADIANS(90.833))/(COS(RADIANS($B$3))*COS(RADIANS(T141)))-TAN(RADIANS($B$3))*TAN(RADIANS(T141))))</f>
        <v>43.5285993709001</v>
      </c>
      <c r="X141" s="7" t="n">
        <f aca="false">(720-4*$B$4-V141+$B$5*60)/1440</f>
        <v>0.499910066759551</v>
      </c>
      <c r="Y141" s="7" t="n">
        <f aca="false">X141-W141*4/1440</f>
        <v>0.378997290729273</v>
      </c>
      <c r="Z141" s="7" t="n">
        <f aca="false">X141+W141*4/1440</f>
        <v>0.62082284278983</v>
      </c>
      <c r="AA141" s="10" t="n">
        <f aca="false">8*W141</f>
        <v>348.228794967201</v>
      </c>
      <c r="AB141" s="0" t="n">
        <f aca="false">MOD(E141*1440+V141+4*$B$4-60*$B$5,1440)</f>
        <v>840.129503866245</v>
      </c>
      <c r="AC141" s="0" t="n">
        <f aca="false">IF(AB141/4&lt;0,AB141/4+180,AB141/4-180)</f>
        <v>30.0323759665612</v>
      </c>
      <c r="AD141" s="0" t="n">
        <f aca="false">DEGREES(ACOS(SIN(RADIANS($B$3))*SIN(RADIANS(T141))+COS(RADIANS($B$3))*COS(RADIANS(T141))*COS(RADIANS(AC141))))</f>
        <v>87.5661309417302</v>
      </c>
      <c r="AE141" s="0" t="n">
        <f aca="false">90-AD141</f>
        <v>2.43386905826979</v>
      </c>
      <c r="AF141" s="0" t="n">
        <f aca="false">IF(AE141&gt;85,0,IF(AE141&gt;5,58.1/TAN(RADIANS(AE141))-0.07/POWER(TAN(RADIANS(AE141)),3)+0.000086/POWER(TAN(RADIANS(AE141)),5),IF(AE141&gt;-0.575,1735+AE141*(-518.2+AE141*(103.4+AE141*(-12.79+AE141*0.711))),-20.772/TAN(RADIANS(AE141)))))/3600</f>
        <v>0.257452868684254</v>
      </c>
      <c r="AG141" s="0" t="n">
        <f aca="false">AE141+AF141</f>
        <v>2.69132192695405</v>
      </c>
      <c r="AH141" s="0" t="n">
        <f aca="false">IF(AC141&gt;0,MOD(DEGREES(ACOS(((SIN(RADIANS($B$3))*COS(RADIANS(AD141)))-SIN(RADIANS(T141)))/(COS(RADIANS($B$3))*SIN(RADIANS(AD141)))))+180,360),MOD(540-DEGREES(ACOS(((SIN(RADIANS($B$3))*COS(RADIANS(AD141)))-SIN(RADIANS(T141)))/(COS(RADIANS($B$3))*SIN(RADIANS(AD141))))),360))</f>
        <v>208.08642449756</v>
      </c>
    </row>
    <row r="142" customFormat="false" ht="15" hidden="false" customHeight="false" outlineLevel="0" collapsed="false">
      <c r="D142" s="6" t="n">
        <f aca="false">$B$7</f>
        <v>44886</v>
      </c>
      <c r="E142" s="7" t="n">
        <f aca="false">E141+0.1/24</f>
        <v>0.587499999999999</v>
      </c>
      <c r="F142" s="8" t="n">
        <f aca="false">D142+2415018.5+E142-$B$5/24</f>
        <v>2459905.04583333</v>
      </c>
      <c r="G142" s="9" t="n">
        <f aca="false">(F142-2451545)/36525</f>
        <v>0.228885580652523</v>
      </c>
      <c r="I142" s="0" t="n">
        <f aca="false">MOD(280.46646+G142*(36000.76983+G142*0.0003032),360)</f>
        <v>240.523582361599</v>
      </c>
      <c r="J142" s="0" t="n">
        <f aca="false">357.52911+G142*(35999.05029-0.0001537*G142)</f>
        <v>8597.19263051389</v>
      </c>
      <c r="K142" s="0" t="n">
        <f aca="false">0.016708634-G142*(0.000042037+0.0000001267*G142)</f>
        <v>0.0166990056992093</v>
      </c>
      <c r="L142" s="0" t="n">
        <f aca="false">SIN(RADIANS(J142))*(1.914602-G142*(0.004817+0.000014*G142))+SIN(RADIANS(2*J142))*(0.019993-0.000101*G142)+SIN(RADIANS(3*J142))*0.000289</f>
        <v>-1.32042848028159</v>
      </c>
      <c r="M142" s="0" t="n">
        <f aca="false">I142+L142</f>
        <v>239.203153881317</v>
      </c>
      <c r="N142" s="0" t="n">
        <f aca="false">J142+L142</f>
        <v>8595.87220203361</v>
      </c>
      <c r="O142" s="0" t="n">
        <f aca="false">(1.000001018*(1-K142*K142))/(1+K142*COS(RADIANS(N142)))</f>
        <v>0.987881067174679</v>
      </c>
      <c r="P142" s="0" t="n">
        <f aca="false">M142-0.00569-0.00478*SIN(RADIANS(125.04-1934.136*G142))</f>
        <v>239.194244157653</v>
      </c>
      <c r="Q142" s="0" t="n">
        <f aca="false">23+(26+((21.448-G142*(46.815+G142*(0.00059-G142*0.001813))))/60)/60</f>
        <v>23.4363146423256</v>
      </c>
      <c r="R142" s="0" t="n">
        <f aca="false">Q142+0.00256*COS(RADIANS(125.04-1934.136*G142))</f>
        <v>23.4382067694965</v>
      </c>
      <c r="S142" s="0" t="n">
        <f aca="false">DEGREES(ATAN2(COS(RADIANS(P142)),COS(RADIANS(R142))*SIN(RADIANS(P142))))</f>
        <v>-123.018931646885</v>
      </c>
      <c r="T142" s="0" t="n">
        <f aca="false">DEGREES(ASIN(SIN(RADIANS(R142))*SIN(RADIANS(P142))))</f>
        <v>-19.9767774231515</v>
      </c>
      <c r="U142" s="0" t="n">
        <f aca="false">TAN(RADIANS(R142/2))*TAN(RADIANS(R142/2))</f>
        <v>0.0430304344087454</v>
      </c>
      <c r="V142" s="0" t="n">
        <f aca="false">4*DEGREES(U142*SIN(2*RADIANS(I142))-2*K142*SIN(RADIANS(J142))+4*K142*U142*SIN(RADIANS(J142))*COS(2*RADIANS(I142))-0.5*U142*U142*SIN(4*RADIANS(I142))-1.25*K142*K142*SIN(2*RADIANS(J142)))</f>
        <v>14.1484370665505</v>
      </c>
      <c r="W142" s="0" t="n">
        <f aca="false">DEGREES(ACOS(COS(RADIANS(90.833))/(COS(RADIANS($B$3))*COS(RADIANS(T142)))-TAN(RADIANS($B$3))*TAN(RADIANS(T142))))</f>
        <v>43.525478083722</v>
      </c>
      <c r="X142" s="7" t="n">
        <f aca="false">(720-4*$B$4-V142+$B$5*60)/1440</f>
        <v>0.499910807592673</v>
      </c>
      <c r="Y142" s="7" t="n">
        <f aca="false">X142-W142*4/1440</f>
        <v>0.379006701804557</v>
      </c>
      <c r="Z142" s="7" t="n">
        <f aca="false">X142+W142*4/1440</f>
        <v>0.62081491338079</v>
      </c>
      <c r="AA142" s="10" t="n">
        <f aca="false">8*W142</f>
        <v>348.203824669776</v>
      </c>
      <c r="AB142" s="0" t="n">
        <f aca="false">MOD(E142*1440+V142+4*$B$4-60*$B$5,1440)</f>
        <v>846.128437066549</v>
      </c>
      <c r="AC142" s="0" t="n">
        <f aca="false">IF(AB142/4&lt;0,AB142/4+180,AB142/4-180)</f>
        <v>31.5321092666373</v>
      </c>
      <c r="AD142" s="0" t="n">
        <f aca="false">DEGREES(ACOS(SIN(RADIANS($B$3))*SIN(RADIANS(T142))+COS(RADIANS($B$3))*COS(RADIANS(T142))*COS(RADIANS(AC142))))</f>
        <v>87.8781930217929</v>
      </c>
      <c r="AE142" s="0" t="n">
        <f aca="false">90-AD142</f>
        <v>2.12180697820706</v>
      </c>
      <c r="AF142" s="0" t="n">
        <f aca="false">IF(AE142&gt;85,0,IF(AE142&gt;5,58.1/TAN(RADIANS(AE142))-0.07/POWER(TAN(RADIANS(AE142)),3)+0.000086/POWER(TAN(RADIANS(AE142)),5),IF(AE142&gt;-0.575,1735+AE142*(-518.2+AE142*(103.4+AE142*(-12.79+AE142*0.711))),-20.772/TAN(RADIANS(AE142)))))/3600</f>
        <v>0.275896516464375</v>
      </c>
      <c r="AG142" s="0" t="n">
        <f aca="false">AE142+AF142</f>
        <v>2.39770349467144</v>
      </c>
      <c r="AH142" s="0" t="n">
        <f aca="false">IF(AC142&gt;0,MOD(DEGREES(ACOS(((SIN(RADIANS($B$3))*COS(RADIANS(AD142)))-SIN(RADIANS(T142)))/(COS(RADIANS($B$3))*SIN(RADIANS(AD142)))))+180,360),MOD(540-DEGREES(ACOS(((SIN(RADIANS($B$3))*COS(RADIANS(AD142)))-SIN(RADIANS(T142)))/(COS(RADIANS($B$3))*SIN(RADIANS(AD142))))),360))</f>
        <v>209.462029696902</v>
      </c>
    </row>
    <row r="143" customFormat="false" ht="15" hidden="false" customHeight="false" outlineLevel="0" collapsed="false">
      <c r="D143" s="6" t="n">
        <f aca="false">$B$7</f>
        <v>44886</v>
      </c>
      <c r="E143" s="7" t="n">
        <f aca="false">E142+0.1/24</f>
        <v>0.591666666666666</v>
      </c>
      <c r="F143" s="8" t="n">
        <f aca="false">D143+2415018.5+E143-$B$5/24</f>
        <v>2459905.05</v>
      </c>
      <c r="G143" s="9" t="n">
        <f aca="false">(F143-2451545)/36525</f>
        <v>0.228885694729645</v>
      </c>
      <c r="I143" s="0" t="n">
        <f aca="false">MOD(280.46646+G143*(36000.76983+G143*0.0003032),360)</f>
        <v>240.52768922583</v>
      </c>
      <c r="J143" s="0" t="n">
        <f aca="false">357.52911+G143*(35999.05029-0.0001537*G143)</f>
        <v>8597.19673718194</v>
      </c>
      <c r="K143" s="0" t="n">
        <f aca="false">0.016708634-G143*(0.000042037+0.0000001267*G143)</f>
        <v>0.0166990056944073</v>
      </c>
      <c r="L143" s="0" t="n">
        <f aca="false">SIN(RADIANS(J143))*(1.914602-G143*(0.004817+0.000014*G143))+SIN(RADIANS(2*J143))*(0.019993-0.000101*G143)+SIN(RADIANS(3*J143))*0.000289</f>
        <v>-1.32032767716746</v>
      </c>
      <c r="M143" s="0" t="n">
        <f aca="false">I143+L143</f>
        <v>239.207361548662</v>
      </c>
      <c r="N143" s="0" t="n">
        <f aca="false">J143+L143</f>
        <v>8595.87640950477</v>
      </c>
      <c r="O143" s="0" t="n">
        <f aca="false">(1.000001018*(1-K143*K143))/(1+K143*COS(RADIANS(N143)))</f>
        <v>0.987880233737943</v>
      </c>
      <c r="P143" s="0" t="n">
        <f aca="false">M143-0.00569-0.00478*SIN(RADIANS(125.04-1934.136*G143))</f>
        <v>239.198451838603</v>
      </c>
      <c r="Q143" s="0" t="n">
        <f aca="false">23+(26+((21.448-G143*(46.815+G143*(0.00059-G143*0.001813))))/60)/60</f>
        <v>23.4363146408421</v>
      </c>
      <c r="R143" s="0" t="n">
        <f aca="false">Q143+0.00256*COS(RADIANS(125.04-1934.136*G143))</f>
        <v>23.4382067746534</v>
      </c>
      <c r="S143" s="0" t="n">
        <f aca="false">DEGREES(ATAN2(COS(RADIANS(P143)),COS(RADIANS(R143))*SIN(RADIANS(P143))))</f>
        <v>-123.014560990428</v>
      </c>
      <c r="T143" s="0" t="n">
        <f aca="false">DEGREES(ASIN(SIN(RADIANS(R143))*SIN(RADIANS(P143))))</f>
        <v>-19.9776893707958</v>
      </c>
      <c r="U143" s="0" t="n">
        <f aca="false">TAN(RADIANS(R143/2))*TAN(RADIANS(R143/2))</f>
        <v>0.0430304344282193</v>
      </c>
      <c r="V143" s="0" t="n">
        <f aca="false">4*DEGREES(U143*SIN(2*RADIANS(I143))-2*K143*SIN(RADIANS(J143))+4*K143*U143*SIN(RADIANS(J143))*COS(2*RADIANS(I143))-0.5*U143*U143*SIN(4*RADIANS(I143))-1.25*K143*K143*SIN(2*RADIANS(J143)))</f>
        <v>14.1473700348858</v>
      </c>
      <c r="W143" s="0" t="n">
        <f aca="false">DEGREES(ACOS(COS(RADIANS(90.833))/(COS(RADIANS($B$3))*COS(RADIANS(T143)))-TAN(RADIANS($B$3))*TAN(RADIANS(T143))))</f>
        <v>43.5223569429102</v>
      </c>
      <c r="X143" s="7" t="n">
        <f aca="false">(720-4*$B$4-V143+$B$5*60)/1440</f>
        <v>0.499911548586885</v>
      </c>
      <c r="Y143" s="7" t="n">
        <f aca="false">X143-W143*4/1440</f>
        <v>0.379016112634357</v>
      </c>
      <c r="Z143" s="7" t="n">
        <f aca="false">X143+W143*4/1440</f>
        <v>0.620806984539413</v>
      </c>
      <c r="AA143" s="10" t="n">
        <f aca="false">8*W143</f>
        <v>348.178855543282</v>
      </c>
      <c r="AB143" s="0" t="n">
        <f aca="false">MOD(E143*1440+V143+4*$B$4-60*$B$5,1440)</f>
        <v>852.127370034885</v>
      </c>
      <c r="AC143" s="0" t="n">
        <f aca="false">IF(AB143/4&lt;0,AB143/4+180,AB143/4-180)</f>
        <v>33.0318425087211</v>
      </c>
      <c r="AD143" s="0" t="n">
        <f aca="false">DEGREES(ACOS(SIN(RADIANS($B$3))*SIN(RADIANS(T143))+COS(RADIANS($B$3))*COS(RADIANS(T143))*COS(RADIANS(AC143))))</f>
        <v>88.2037491819803</v>
      </c>
      <c r="AE143" s="0" t="n">
        <f aca="false">90-AD143</f>
        <v>1.79625081801969</v>
      </c>
      <c r="AF143" s="0" t="n">
        <f aca="false">IF(AE143&gt;85,0,IF(AE143&gt;5,58.1/TAN(RADIANS(AE143))-0.07/POWER(TAN(RADIANS(AE143)),3)+0.000086/POWER(TAN(RADIANS(AE143)),5),IF(AE143&gt;-0.575,1735+AE143*(-518.2+AE143*(103.4+AE143*(-12.79+AE143*0.711))),-20.772/TAN(RADIANS(AE143)))))/3600</f>
        <v>0.297522314054151</v>
      </c>
      <c r="AG143" s="0" t="n">
        <f aca="false">AE143+AF143</f>
        <v>2.09377313207384</v>
      </c>
      <c r="AH143" s="0" t="n">
        <f aca="false">IF(AC143&gt;0,MOD(DEGREES(ACOS(((SIN(RADIANS($B$3))*COS(RADIANS(AD143)))-SIN(RADIANS(T143)))/(COS(RADIANS($B$3))*SIN(RADIANS(AD143)))))+180,360),MOD(540-DEGREES(ACOS(((SIN(RADIANS($B$3))*COS(RADIANS(AD143)))-SIN(RADIANS(T143)))/(COS(RADIANS($B$3))*SIN(RADIANS(AD143))))),360))</f>
        <v>210.834208219561</v>
      </c>
    </row>
    <row r="144" customFormat="false" ht="15" hidden="false" customHeight="false" outlineLevel="0" collapsed="false">
      <c r="D144" s="6" t="n">
        <f aca="false">$B$7</f>
        <v>44886</v>
      </c>
      <c r="E144" s="7" t="n">
        <f aca="false">E143+0.1/24</f>
        <v>0.595833333333332</v>
      </c>
      <c r="F144" s="8" t="n">
        <f aca="false">D144+2415018.5+E144-$B$5/24</f>
        <v>2459905.05416667</v>
      </c>
      <c r="G144" s="9" t="n">
        <f aca="false">(F144-2451545)/36525</f>
        <v>0.228885808806754</v>
      </c>
      <c r="I144" s="0" t="n">
        <f aca="false">MOD(280.46646+G144*(36000.76983+G144*0.0003032),360)</f>
        <v>240.531796089603</v>
      </c>
      <c r="J144" s="0" t="n">
        <f aca="false">357.52911+G144*(35999.05029-0.0001537*G144)</f>
        <v>8597.20084384952</v>
      </c>
      <c r="K144" s="0" t="n">
        <f aca="false">0.016708634-G144*(0.000042037+0.0000001267*G144)</f>
        <v>0.0166990056896052</v>
      </c>
      <c r="L144" s="0" t="n">
        <f aca="false">SIN(RADIANS(J144))*(1.914602-G144*(0.004817+0.000014*G144))+SIN(RADIANS(2*J144))*(0.019993-0.000101*G144)+SIN(RADIANS(3*J144))*0.000289</f>
        <v>-1.32022686696566</v>
      </c>
      <c r="M144" s="0" t="n">
        <f aca="false">I144+L144</f>
        <v>239.211569222637</v>
      </c>
      <c r="N144" s="0" t="n">
        <f aca="false">J144+L144</f>
        <v>8595.88061698256</v>
      </c>
      <c r="O144" s="0" t="n">
        <f aca="false">(1.000001018*(1-K144*K144))/(1+K144*COS(RADIANS(N144)))</f>
        <v>0.987879400364404</v>
      </c>
      <c r="P144" s="0" t="n">
        <f aca="false">M144-0.00569-0.00478*SIN(RADIANS(125.04-1934.136*G144))</f>
        <v>239.202659526183</v>
      </c>
      <c r="Q144" s="0" t="n">
        <f aca="false">23+(26+((21.448-G144*(46.815+G144*(0.00059-G144*0.001813))))/60)/60</f>
        <v>23.4363146393586</v>
      </c>
      <c r="R144" s="0" t="n">
        <f aca="false">Q144+0.00256*COS(RADIANS(125.04-1934.136*G144))</f>
        <v>23.4382067798103</v>
      </c>
      <c r="S144" s="0" t="n">
        <f aca="false">DEGREES(ATAN2(COS(RADIANS(P144)),COS(RADIANS(R144))*SIN(RADIANS(P144))))</f>
        <v>-123.01019027651</v>
      </c>
      <c r="T144" s="0" t="n">
        <f aca="false">DEGREES(ASIN(SIN(RADIANS(R144))*SIN(RADIANS(P144))))</f>
        <v>-19.9786012128213</v>
      </c>
      <c r="U144" s="0" t="n">
        <f aca="false">TAN(RADIANS(R144/2))*TAN(RADIANS(R144/2))</f>
        <v>0.0430304344476929</v>
      </c>
      <c r="V144" s="0" t="n">
        <f aca="false">4*DEGREES(U144*SIN(2*RADIANS(I144))-2*K144*SIN(RADIANS(J144))+4*K144*U144*SIN(RADIANS(J144))*COS(2*RADIANS(I144))-0.5*U144*U144*SIN(4*RADIANS(I144))-1.25*K144*K144*SIN(2*RADIANS(J144)))</f>
        <v>14.1463027715057</v>
      </c>
      <c r="W144" s="0" t="n">
        <f aca="false">DEGREES(ACOS(COS(RADIANS(90.833))/(COS(RADIANS($B$3))*COS(RADIANS(T144)))-TAN(RADIANS($B$3))*TAN(RADIANS(T144))))</f>
        <v>43.5192359492149</v>
      </c>
      <c r="X144" s="7" t="n">
        <f aca="false">(720-4*$B$4-V144+$B$5*60)/1440</f>
        <v>0.49991228974201</v>
      </c>
      <c r="Y144" s="7" t="n">
        <f aca="false">X144-W144*4/1440</f>
        <v>0.379025523216413</v>
      </c>
      <c r="Z144" s="7" t="n">
        <f aca="false">X144+W144*4/1440</f>
        <v>0.620799056267607</v>
      </c>
      <c r="AA144" s="10" t="n">
        <f aca="false">8*W144</f>
        <v>348.153887593719</v>
      </c>
      <c r="AB144" s="0" t="n">
        <f aca="false">MOD(E144*1440+V144+4*$B$4-60*$B$5,1440)</f>
        <v>858.126302771505</v>
      </c>
      <c r="AC144" s="0" t="n">
        <f aca="false">IF(AB144/4&lt;0,AB144/4+180,AB144/4-180)</f>
        <v>34.5315756928761</v>
      </c>
      <c r="AD144" s="0" t="n">
        <f aca="false">DEGREES(ACOS(SIN(RADIANS($B$3))*SIN(RADIANS(T144))+COS(RADIANS($B$3))*COS(RADIANS(T144))*COS(RADIANS(AC144))))</f>
        <v>88.5425794826238</v>
      </c>
      <c r="AE144" s="0" t="n">
        <f aca="false">90-AD144</f>
        <v>1.45742051737624</v>
      </c>
      <c r="AF144" s="0" t="n">
        <f aca="false">IF(AE144&gt;85,0,IF(AE144&gt;5,58.1/TAN(RADIANS(AE144))-0.07/POWER(TAN(RADIANS(AE144)),3)+0.000086/POWER(TAN(RADIANS(AE144)),5),IF(AE144&gt;-0.575,1735+AE144*(-518.2+AE144*(103.4+AE144*(-12.79+AE144*0.711))),-20.772/TAN(RADIANS(AE144)))))/3600</f>
        <v>0.323057831672355</v>
      </c>
      <c r="AG144" s="0" t="n">
        <f aca="false">AE144+AF144</f>
        <v>1.78047834904859</v>
      </c>
      <c r="AH144" s="0" t="n">
        <f aca="false">IF(AC144&gt;0,MOD(DEGREES(ACOS(((SIN(RADIANS($B$3))*COS(RADIANS(AD144)))-SIN(RADIANS(T144)))/(COS(RADIANS($B$3))*SIN(RADIANS(AD144)))))+180,360),MOD(540-DEGREES(ACOS(((SIN(RADIANS($B$3))*COS(RADIANS(AD144)))-SIN(RADIANS(T144)))/(COS(RADIANS($B$3))*SIN(RADIANS(AD144))))),360))</f>
        <v>212.20290888063</v>
      </c>
    </row>
    <row r="145" customFormat="false" ht="15" hidden="false" customHeight="false" outlineLevel="0" collapsed="false">
      <c r="D145" s="6" t="n">
        <f aca="false">$B$7</f>
        <v>44886</v>
      </c>
      <c r="E145" s="7" t="n">
        <f aca="false">E144+0.1/24</f>
        <v>0.599999999999999</v>
      </c>
      <c r="F145" s="8" t="n">
        <f aca="false">D145+2415018.5+E145-$B$5/24</f>
        <v>2459905.05833333</v>
      </c>
      <c r="G145" s="9" t="n">
        <f aca="false">(F145-2451545)/36525</f>
        <v>0.228885922883876</v>
      </c>
      <c r="I145" s="0" t="n">
        <f aca="false">MOD(280.46646+G145*(36000.76983+G145*0.0003032),360)</f>
        <v>240.535902953834</v>
      </c>
      <c r="J145" s="0" t="n">
        <f aca="false">357.52911+G145*(35999.05029-0.0001537*G145)</f>
        <v>8597.20495051757</v>
      </c>
      <c r="K145" s="0" t="n">
        <f aca="false">0.016708634-G145*(0.000042037+0.0000001267*G145)</f>
        <v>0.0166990056848031</v>
      </c>
      <c r="L145" s="0" t="n">
        <f aca="false">SIN(RADIANS(J145))*(1.914602-G145*(0.004817+0.000014*G145))+SIN(RADIANS(2*J145))*(0.019993-0.000101*G145)+SIN(RADIANS(3*J145))*0.000289</f>
        <v>-1.32012604965405</v>
      </c>
      <c r="M145" s="0" t="n">
        <f aca="false">I145+L145</f>
        <v>239.21577690418</v>
      </c>
      <c r="N145" s="0" t="n">
        <f aca="false">J145+L145</f>
        <v>8595.88482446792</v>
      </c>
      <c r="O145" s="0" t="n">
        <f aca="false">(1.000001018*(1-K145*K145))/(1+K145*COS(RADIANS(N145)))</f>
        <v>0.987878567053879</v>
      </c>
      <c r="P145" s="0" t="n">
        <f aca="false">M145-0.00569-0.00478*SIN(RADIANS(125.04-1934.136*G145))</f>
        <v>239.206867221331</v>
      </c>
      <c r="Q145" s="0" t="n">
        <f aca="false">23+(26+((21.448-G145*(46.815+G145*(0.00059-G145*0.001813))))/60)/60</f>
        <v>23.4363146378752</v>
      </c>
      <c r="R145" s="0" t="n">
        <f aca="false">Q145+0.00256*COS(RADIANS(125.04-1934.136*G145))</f>
        <v>23.4382067849671</v>
      </c>
      <c r="S145" s="0" t="n">
        <f aca="false">DEGREES(ATAN2(COS(RADIANS(P145)),COS(RADIANS(R145))*SIN(RADIANS(P145))))</f>
        <v>-123.005819504157</v>
      </c>
      <c r="T145" s="0" t="n">
        <f aca="false">DEGREES(ASIN(SIN(RADIANS(R145))*SIN(RADIANS(P145))))</f>
        <v>-19.9795129494243</v>
      </c>
      <c r="U145" s="0" t="n">
        <f aca="false">TAN(RADIANS(R145/2))*TAN(RADIANS(R145/2))</f>
        <v>0.0430304344671665</v>
      </c>
      <c r="V145" s="0" t="n">
        <f aca="false">4*DEGREES(U145*SIN(2*RADIANS(I145))-2*K145*SIN(RADIANS(J145))+4*K145*U145*SIN(RADIANS(J145))*COS(2*RADIANS(I145))-0.5*U145*U145*SIN(4*RADIANS(I145))-1.25*K145*K145*SIN(2*RADIANS(J145)))</f>
        <v>14.1452352761853</v>
      </c>
      <c r="W145" s="0" t="n">
        <f aca="false">DEGREES(ACOS(COS(RADIANS(90.833))/(COS(RADIANS($B$3))*COS(RADIANS(T145)))-TAN(RADIANS($B$3))*TAN(RADIANS(T145))))</f>
        <v>43.5161151019901</v>
      </c>
      <c r="X145" s="7" t="n">
        <f aca="false">(720-4*$B$4-V145+$B$5*60)/1440</f>
        <v>0.499913031058205</v>
      </c>
      <c r="Y145" s="7" t="n">
        <f aca="false">X145-W145*4/1440</f>
        <v>0.379034933552677</v>
      </c>
      <c r="Z145" s="7" t="n">
        <f aca="false">X145+W145*4/1440</f>
        <v>0.620791128563733</v>
      </c>
      <c r="AA145" s="10" t="n">
        <f aca="false">8*W145</f>
        <v>348.128920815921</v>
      </c>
      <c r="AB145" s="0" t="n">
        <f aca="false">MOD(E145*1440+V145+4*$B$4-60*$B$5,1440)</f>
        <v>864.125235276184</v>
      </c>
      <c r="AC145" s="0" t="n">
        <f aca="false">IF(AB145/4&lt;0,AB145/4+180,AB145/4-180)</f>
        <v>36.031308819046</v>
      </c>
      <c r="AD145" s="0" t="n">
        <f aca="false">DEGREES(ACOS(SIN(RADIANS($B$3))*SIN(RADIANS(T145))+COS(RADIANS($B$3))*COS(RADIANS(T145))*COS(RADIANS(AC145))))</f>
        <v>88.8944574029423</v>
      </c>
      <c r="AE145" s="0" t="n">
        <f aca="false">90-AD145</f>
        <v>1.10554259705766</v>
      </c>
      <c r="AF145" s="0" t="n">
        <f aca="false">IF(AE145&gt;85,0,IF(AE145&gt;5,58.1/TAN(RADIANS(AE145))-0.07/POWER(TAN(RADIANS(AE145)),3)+0.000086/POWER(TAN(RADIANS(AE145)),5),IF(AE145&gt;-0.575,1735+AE145*(-518.2+AE145*(103.4+AE145*(-12.79+AE145*0.711))),-20.772/TAN(RADIANS(AE145)))))/3600</f>
        <v>0.353407174666553</v>
      </c>
      <c r="AG145" s="0" t="n">
        <f aca="false">AE145+AF145</f>
        <v>1.45894977172422</v>
      </c>
      <c r="AH145" s="0" t="n">
        <f aca="false">IF(AC145&gt;0,MOD(DEGREES(ACOS(((SIN(RADIANS($B$3))*COS(RADIANS(AD145)))-SIN(RADIANS(T145)))/(COS(RADIANS($B$3))*SIN(RADIANS(AD145)))))+180,360),MOD(540-DEGREES(ACOS(((SIN(RADIANS($B$3))*COS(RADIANS(AD145)))-SIN(RADIANS(T145)))/(COS(RADIANS($B$3))*SIN(RADIANS(AD145))))),360))</f>
        <v>213.568093449211</v>
      </c>
    </row>
    <row r="146" customFormat="false" ht="15" hidden="false" customHeight="false" outlineLevel="0" collapsed="false">
      <c r="D146" s="6" t="n">
        <f aca="false">$B$7</f>
        <v>44886</v>
      </c>
      <c r="E146" s="7" t="n">
        <f aca="false">E145+0.1/24</f>
        <v>0.604166666666666</v>
      </c>
      <c r="F146" s="8" t="n">
        <f aca="false">D146+2415018.5+E146-$B$5/24</f>
        <v>2459905.0625</v>
      </c>
      <c r="G146" s="9" t="n">
        <f aca="false">(F146-2451545)/36525</f>
        <v>0.228886036960986</v>
      </c>
      <c r="I146" s="0" t="n">
        <f aca="false">MOD(280.46646+G146*(36000.76983+G146*0.0003032),360)</f>
        <v>240.540009817605</v>
      </c>
      <c r="J146" s="0" t="n">
        <f aca="false">357.52911+G146*(35999.05029-0.0001537*G146)</f>
        <v>8597.20905718516</v>
      </c>
      <c r="K146" s="0" t="n">
        <f aca="false">0.016708634-G146*(0.000042037+0.0000001267*G146)</f>
        <v>0.016699005680001</v>
      </c>
      <c r="L146" s="0" t="n">
        <f aca="false">SIN(RADIANS(J146))*(1.914602-G146*(0.004817+0.000014*G146))+SIN(RADIANS(2*J146))*(0.019993-0.000101*G146)+SIN(RADIANS(3*J146))*0.000289</f>
        <v>-1.32002522525577</v>
      </c>
      <c r="M146" s="0" t="n">
        <f aca="false">I146+L146</f>
        <v>239.219984592349</v>
      </c>
      <c r="N146" s="0" t="n">
        <f aca="false">J146+L146</f>
        <v>8595.8890319599</v>
      </c>
      <c r="O146" s="0" t="n">
        <f aca="false">(1.000001018*(1-K146*K146))/(1+K146*COS(RADIANS(N146)))</f>
        <v>0.987877733806558</v>
      </c>
      <c r="P146" s="0" t="n">
        <f aca="false">M146-0.00569-0.00478*SIN(RADIANS(125.04-1934.136*G146))</f>
        <v>239.211074923106</v>
      </c>
      <c r="Q146" s="0" t="n">
        <f aca="false">23+(26+((21.448-G146*(46.815+G146*(0.00059-G146*0.001813))))/60)/60</f>
        <v>23.4363146363917</v>
      </c>
      <c r="R146" s="0" t="n">
        <f aca="false">Q146+0.00256*COS(RADIANS(125.04-1934.136*G146))</f>
        <v>23.4382067901239</v>
      </c>
      <c r="S146" s="0" t="n">
        <f aca="false">DEGREES(ATAN2(COS(RADIANS(P146)),COS(RADIANS(R146))*SIN(RADIANS(P146))))</f>
        <v>-123.00144867435</v>
      </c>
      <c r="T146" s="0" t="n">
        <f aca="false">DEGREES(ASIN(SIN(RADIANS(R146))*SIN(RADIANS(P146))))</f>
        <v>-19.9804245803938</v>
      </c>
      <c r="U146" s="0" t="n">
        <f aca="false">TAN(RADIANS(R146/2))*TAN(RADIANS(R146/2))</f>
        <v>0.04303043448664</v>
      </c>
      <c r="V146" s="0" t="n">
        <f aca="false">4*DEGREES(U146*SIN(2*RADIANS(I146))-2*K146*SIN(RADIANS(J146))+4*K146*U146*SIN(RADIANS(J146))*COS(2*RADIANS(I146))-0.5*U146*U146*SIN(4*RADIANS(I146))-1.25*K146*K146*SIN(2*RADIANS(J146)))</f>
        <v>14.1441675491776</v>
      </c>
      <c r="W146" s="0" t="n">
        <f aca="false">DEGREES(ACOS(COS(RADIANS(90.833))/(COS(RADIANS($B$3))*COS(RADIANS(T146)))-TAN(RADIANS($B$3))*TAN(RADIANS(T146))))</f>
        <v>43.5129944019846</v>
      </c>
      <c r="X146" s="7" t="n">
        <f aca="false">(720-4*$B$4-V146+$B$5*60)/1440</f>
        <v>0.499913772535293</v>
      </c>
      <c r="Y146" s="7" t="n">
        <f aca="false">X146-W146*4/1440</f>
        <v>0.379044343640892</v>
      </c>
      <c r="Z146" s="7" t="n">
        <f aca="false">X146+W146*4/1440</f>
        <v>0.620783201429695</v>
      </c>
      <c r="AA146" s="10" t="n">
        <f aca="false">8*W146</f>
        <v>348.103955215877</v>
      </c>
      <c r="AB146" s="0" t="n">
        <f aca="false">MOD(E146*1440+V146+4*$B$4-60*$B$5,1440)</f>
        <v>870.124167549176</v>
      </c>
      <c r="AC146" s="0" t="n">
        <f aca="false">IF(AB146/4&lt;0,AB146/4+180,AB146/4-180)</f>
        <v>37.5310418872941</v>
      </c>
      <c r="AD146" s="0" t="n">
        <f aca="false">DEGREES(ACOS(SIN(RADIANS($B$3))*SIN(RADIANS(T146))+COS(RADIANS($B$3))*COS(RADIANS(T146))*COS(RADIANS(AC146))))</f>
        <v>89.2591502083655</v>
      </c>
      <c r="AE146" s="0" t="n">
        <f aca="false">90-AD146</f>
        <v>0.740849791634531</v>
      </c>
      <c r="AF146" s="0" t="n">
        <f aca="false">IF(AE146&gt;85,0,IF(AE146&gt;5,58.1/TAN(RADIANS(AE146))-0.07/POWER(TAN(RADIANS(AE146)),3)+0.000086/POWER(TAN(RADIANS(AE146)),5),IF(AE146&gt;-0.575,1735+AE146*(-518.2+AE146*(103.4+AE146*(-12.79+AE146*0.711))),-20.772/TAN(RADIANS(AE146)))))/3600</f>
        <v>0.389682525765504</v>
      </c>
      <c r="AG146" s="0" t="n">
        <f aca="false">AE146+AF146</f>
        <v>1.13053231740004</v>
      </c>
      <c r="AH146" s="0" t="n">
        <f aca="false">IF(AC146&gt;0,MOD(DEGREES(ACOS(((SIN(RADIANS($B$3))*COS(RADIANS(AD146)))-SIN(RADIANS(T146)))/(COS(RADIANS($B$3))*SIN(RADIANS(AD146)))))+180,360),MOD(540-DEGREES(ACOS(((SIN(RADIANS($B$3))*COS(RADIANS(AD146)))-SIN(RADIANS(T146)))/(COS(RADIANS($B$3))*SIN(RADIANS(AD146))))),360))</f>
        <v>214.929736769627</v>
      </c>
    </row>
    <row r="147" customFormat="false" ht="15" hidden="false" customHeight="false" outlineLevel="0" collapsed="false">
      <c r="D147" s="6" t="n">
        <f aca="false">$B$7</f>
        <v>44886</v>
      </c>
      <c r="E147" s="7" t="n">
        <f aca="false">E146+0.1/24</f>
        <v>0.608333333333332</v>
      </c>
      <c r="F147" s="8" t="n">
        <f aca="false">D147+2415018.5+E147-$B$5/24</f>
        <v>2459905.06666667</v>
      </c>
      <c r="G147" s="9" t="n">
        <f aca="false">(F147-2451545)/36525</f>
        <v>0.228886151038108</v>
      </c>
      <c r="I147" s="0" t="n">
        <f aca="false">MOD(280.46646+G147*(36000.76983+G147*0.0003032),360)</f>
        <v>240.544116681835</v>
      </c>
      <c r="J147" s="0" t="n">
        <f aca="false">357.52911+G147*(35999.05029-0.0001537*G147)</f>
        <v>8597.21316385321</v>
      </c>
      <c r="K147" s="0" t="n">
        <f aca="false">0.016708634-G147*(0.000042037+0.0000001267*G147)</f>
        <v>0.016699005675199</v>
      </c>
      <c r="L147" s="0" t="n">
        <f aca="false">SIN(RADIANS(J147))*(1.914602-G147*(0.004817+0.000014*G147))+SIN(RADIANS(2*J147))*(0.019993-0.000101*G147)+SIN(RADIANS(3*J147))*0.000289</f>
        <v>-1.31992439374871</v>
      </c>
      <c r="M147" s="0" t="n">
        <f aca="false">I147+L147</f>
        <v>239.224192288086</v>
      </c>
      <c r="N147" s="0" t="n">
        <f aca="false">J147+L147</f>
        <v>8595.89323945946</v>
      </c>
      <c r="O147" s="0" t="n">
        <f aca="false">(1.000001018*(1-K147*K147))/(1+K147*COS(RADIANS(N147)))</f>
        <v>0.987876900622262</v>
      </c>
      <c r="P147" s="0" t="n">
        <f aca="false">M147-0.00569-0.00478*SIN(RADIANS(125.04-1934.136*G147))</f>
        <v>239.215282632447</v>
      </c>
      <c r="Q147" s="0" t="n">
        <f aca="false">23+(26+((21.448-G147*(46.815+G147*(0.00059-G147*0.001813))))/60)/60</f>
        <v>23.4363146349082</v>
      </c>
      <c r="R147" s="0" t="n">
        <f aca="false">Q147+0.00256*COS(RADIANS(125.04-1934.136*G147))</f>
        <v>23.4382067952807</v>
      </c>
      <c r="S147" s="0" t="n">
        <f aca="false">DEGREES(ATAN2(COS(RADIANS(P147)),COS(RADIANS(R147))*SIN(RADIANS(P147))))</f>
        <v>-122.997077786116</v>
      </c>
      <c r="T147" s="0" t="n">
        <f aca="false">DEGREES(ASIN(SIN(RADIANS(R147))*SIN(RADIANS(P147))))</f>
        <v>-19.9813361059264</v>
      </c>
      <c r="U147" s="0" t="n">
        <f aca="false">TAN(RADIANS(R147/2))*TAN(RADIANS(R147/2))</f>
        <v>0.0430304345061134</v>
      </c>
      <c r="V147" s="0" t="n">
        <f aca="false">4*DEGREES(U147*SIN(2*RADIANS(I147))-2*K147*SIN(RADIANS(J147))+4*K147*U147*SIN(RADIANS(J147))*COS(2*RADIANS(I147))-0.5*U147*U147*SIN(4*RADIANS(I147))-1.25*K147*K147*SIN(2*RADIANS(J147)))</f>
        <v>14.1430995902575</v>
      </c>
      <c r="W147" s="0" t="n">
        <f aca="false">DEGREES(ACOS(COS(RADIANS(90.833))/(COS(RADIANS($B$3))*COS(RADIANS(T147)))-TAN(RADIANS($B$3))*TAN(RADIANS(T147))))</f>
        <v>43.5098738485511</v>
      </c>
      <c r="X147" s="7" t="n">
        <f aca="false">(720-4*$B$4-V147+$B$5*60)/1440</f>
        <v>0.499914514173432</v>
      </c>
      <c r="Y147" s="7" t="n">
        <f aca="false">X147-W147*4/1440</f>
        <v>0.379053753483013</v>
      </c>
      <c r="Z147" s="7" t="n">
        <f aca="false">X147+W147*4/1440</f>
        <v>0.620775274863852</v>
      </c>
      <c r="AA147" s="10" t="n">
        <f aca="false">8*W147</f>
        <v>348.078990788409</v>
      </c>
      <c r="AB147" s="0" t="n">
        <f aca="false">MOD(E147*1440+V147+4*$B$4-60*$B$5,1440)</f>
        <v>876.123099590256</v>
      </c>
      <c r="AC147" s="0" t="n">
        <f aca="false">IF(AB147/4&lt;0,AB147/4+180,AB147/4-180)</f>
        <v>39.030774897564</v>
      </c>
      <c r="AD147" s="0" t="n">
        <f aca="false">DEGREES(ACOS(SIN(RADIANS($B$3))*SIN(RADIANS(T147))+COS(RADIANS($B$3))*COS(RADIANS(T147))*COS(RADIANS(AC147))))</f>
        <v>89.6364193131512</v>
      </c>
      <c r="AE147" s="0" t="n">
        <f aca="false">90-AD147</f>
        <v>0.36358068684882</v>
      </c>
      <c r="AF147" s="0" t="n">
        <f aca="false">IF(AE147&gt;85,0,IF(AE147&gt;5,58.1/TAN(RADIANS(AE147))-0.07/POWER(TAN(RADIANS(AE147)),3)+0.000086/POWER(TAN(RADIANS(AE147)),5),IF(AE147&gt;-0.575,1735+AE147*(-518.2+AE147*(103.4+AE147*(-12.79+AE147*0.711))),-20.772/TAN(RADIANS(AE147)))))/3600</f>
        <v>0.433238538694739</v>
      </c>
      <c r="AG147" s="0" t="n">
        <f aca="false">AE147+AF147</f>
        <v>0.796819225543559</v>
      </c>
      <c r="AH147" s="0" t="n">
        <f aca="false">IF(AC147&gt;0,MOD(DEGREES(ACOS(((SIN(RADIANS($B$3))*COS(RADIANS(AD147)))-SIN(RADIANS(T147)))/(COS(RADIANS($B$3))*SIN(RADIANS(AD147)))))+180,360),MOD(540-DEGREES(ACOS(((SIN(RADIANS($B$3))*COS(RADIANS(AD147)))-SIN(RADIANS(T147)))/(COS(RADIANS($B$3))*SIN(RADIANS(AD147))))),360))</f>
        <v>216.287826844513</v>
      </c>
    </row>
    <row r="148" customFormat="false" ht="15" hidden="false" customHeight="false" outlineLevel="0" collapsed="false">
      <c r="D148" s="6" t="n">
        <f aca="false">$B$7</f>
        <v>44886</v>
      </c>
      <c r="E148" s="7" t="n">
        <f aca="false">E147+0.1/24</f>
        <v>0.612499999999999</v>
      </c>
      <c r="F148" s="8" t="n">
        <f aca="false">D148+2415018.5+E148-$B$5/24</f>
        <v>2459905.07083333</v>
      </c>
      <c r="G148" s="9" t="n">
        <f aca="false">(F148-2451545)/36525</f>
        <v>0.228886265115217</v>
      </c>
      <c r="I148" s="0" t="n">
        <f aca="false">MOD(280.46646+G148*(36000.76983+G148*0.0003032),360)</f>
        <v>240.548223545607</v>
      </c>
      <c r="J148" s="0" t="n">
        <f aca="false">357.52911+G148*(35999.05029-0.0001537*G148)</f>
        <v>8597.21727052079</v>
      </c>
      <c r="K148" s="0" t="n">
        <f aca="false">0.016708634-G148*(0.000042037+0.0000001267*G148)</f>
        <v>0.0166990056703969</v>
      </c>
      <c r="L148" s="0" t="n">
        <f aca="false">SIN(RADIANS(J148))*(1.914602-G148*(0.004817+0.000014*G148))+SIN(RADIANS(2*J148))*(0.019993-0.000101*G148)+SIN(RADIANS(3*J148))*0.000289</f>
        <v>-1.31982355515595</v>
      </c>
      <c r="M148" s="0" t="n">
        <f aca="false">I148+L148</f>
        <v>239.228399990452</v>
      </c>
      <c r="N148" s="0" t="n">
        <f aca="false">J148+L148</f>
        <v>8595.89744696564</v>
      </c>
      <c r="O148" s="0" t="n">
        <f aca="false">(1.000001018*(1-K148*K148))/(1+K148*COS(RADIANS(N148)))</f>
        <v>0.987876067501179</v>
      </c>
      <c r="P148" s="0" t="n">
        <f aca="false">M148-0.00569-0.00478*SIN(RADIANS(125.04-1934.136*G148))</f>
        <v>239.219490348418</v>
      </c>
      <c r="Q148" s="0" t="n">
        <f aca="false">23+(26+((21.448-G148*(46.815+G148*(0.00059-G148*0.001813))))/60)/60</f>
        <v>23.4363146334247</v>
      </c>
      <c r="R148" s="0" t="n">
        <f aca="false">Q148+0.00256*COS(RADIANS(125.04-1934.136*G148))</f>
        <v>23.4382068004375</v>
      </c>
      <c r="S148" s="0" t="n">
        <f aca="false">DEGREES(ATAN2(COS(RADIANS(P148)),COS(RADIANS(R148))*SIN(RADIANS(P148))))</f>
        <v>-122.99270684043</v>
      </c>
      <c r="T148" s="0" t="n">
        <f aca="false">DEGREES(ASIN(SIN(RADIANS(R148))*SIN(RADIANS(P148))))</f>
        <v>-19.9822475258118</v>
      </c>
      <c r="U148" s="0" t="n">
        <f aca="false">TAN(RADIANS(R148/2))*TAN(RADIANS(R148/2))</f>
        <v>0.0430304345255867</v>
      </c>
      <c r="V148" s="0" t="n">
        <f aca="false">4*DEGREES(U148*SIN(2*RADIANS(I148))-2*K148*SIN(RADIANS(J148))+4*K148*U148*SIN(RADIANS(J148))*COS(2*RADIANS(I148))-0.5*U148*U148*SIN(4*RADIANS(I148))-1.25*K148*K148*SIN(2*RADIANS(J148)))</f>
        <v>14.1420313996771</v>
      </c>
      <c r="W148" s="0" t="n">
        <f aca="false">DEGREES(ACOS(COS(RADIANS(90.833))/(COS(RADIANS($B$3))*COS(RADIANS(T148)))-TAN(RADIANS($B$3))*TAN(RADIANS(T148))))</f>
        <v>43.5067534424356</v>
      </c>
      <c r="X148" s="7" t="n">
        <f aca="false">(720-4*$B$4-V148+$B$5*60)/1440</f>
        <v>0.499915255972446</v>
      </c>
      <c r="Y148" s="7" t="n">
        <f aca="false">X148-W148*4/1440</f>
        <v>0.379063163076792</v>
      </c>
      <c r="Z148" s="7" t="n">
        <f aca="false">X148+W148*4/1440</f>
        <v>0.620767348868101</v>
      </c>
      <c r="AA148" s="10" t="n">
        <f aca="false">8*W148</f>
        <v>348.054027539485</v>
      </c>
      <c r="AB148" s="0" t="n">
        <f aca="false">MOD(E148*1440+V148+4*$B$4-60*$B$5,1440)</f>
        <v>882.122031399676</v>
      </c>
      <c r="AC148" s="0" t="n">
        <f aca="false">IF(AB148/4&lt;0,AB148/4+180,AB148/4-180)</f>
        <v>40.5305078499189</v>
      </c>
      <c r="AD148" s="0" t="n">
        <f aca="false">DEGREES(ACOS(SIN(RADIANS($B$3))*SIN(RADIANS(T148))+COS(RADIANS($B$3))*COS(RADIANS(T148))*COS(RADIANS(AC148))))</f>
        <v>90.026020633713</v>
      </c>
      <c r="AE148" s="0" t="n">
        <f aca="false">90-AD148</f>
        <v>-0.0260206337130029</v>
      </c>
      <c r="AF148" s="0" t="n">
        <f aca="false">IF(AE148&gt;85,0,IF(AE148&gt;5,58.1/TAN(RADIANS(AE148))-0.07/POWER(TAN(RADIANS(AE148)),3)+0.000086/POWER(TAN(RADIANS(AE148)),5),IF(AE148&gt;-0.575,1735+AE148*(-518.2+AE148*(103.4+AE148*(-12.79+AE148*0.711))),-20.772/TAN(RADIANS(AE148)))))/3600</f>
        <v>0.485709479843349</v>
      </c>
      <c r="AG148" s="0" t="n">
        <f aca="false">AE148+AF148</f>
        <v>0.459688846130346</v>
      </c>
      <c r="AH148" s="0" t="n">
        <f aca="false">IF(AC148&gt;0,MOD(DEGREES(ACOS(((SIN(RADIANS($B$3))*COS(RADIANS(AD148)))-SIN(RADIANS(T148)))/(COS(RADIANS($B$3))*SIN(RADIANS(AD148)))))+180,360),MOD(540-DEGREES(ACOS(((SIN(RADIANS($B$3))*COS(RADIANS(AD148)))-SIN(RADIANS(T148)))/(COS(RADIANS($B$3))*SIN(RADIANS(AD148))))),360))</f>
        <v>217.642364883667</v>
      </c>
    </row>
    <row r="149" customFormat="false" ht="15" hidden="false" customHeight="false" outlineLevel="0" collapsed="false">
      <c r="D149" s="6" t="n">
        <f aca="false">$B$7</f>
        <v>44886</v>
      </c>
      <c r="E149" s="7" t="n">
        <f aca="false">E148+0.1/24</f>
        <v>0.616666666666666</v>
      </c>
      <c r="F149" s="8" t="n">
        <f aca="false">D149+2415018.5+E149-$B$5/24</f>
        <v>2459905.075</v>
      </c>
      <c r="G149" s="9" t="n">
        <f aca="false">(F149-2451545)/36525</f>
        <v>0.228886379192339</v>
      </c>
      <c r="I149" s="0" t="n">
        <f aca="false">MOD(280.46646+G149*(36000.76983+G149*0.0003032),360)</f>
        <v>240.552330409839</v>
      </c>
      <c r="J149" s="0" t="n">
        <f aca="false">357.52911+G149*(35999.05029-0.0001537*G149)</f>
        <v>8597.22137718884</v>
      </c>
      <c r="K149" s="0" t="n">
        <f aca="false">0.016708634-G149*(0.000042037+0.0000001267*G149)</f>
        <v>0.0166990056655948</v>
      </c>
      <c r="L149" s="0" t="n">
        <f aca="false">SIN(RADIANS(J149))*(1.914602-G149*(0.004817+0.000014*G149))+SIN(RADIANS(2*J149))*(0.019993-0.000101*G149)+SIN(RADIANS(3*J149))*0.000289</f>
        <v>-1.31972270945557</v>
      </c>
      <c r="M149" s="0" t="n">
        <f aca="false">I149+L149</f>
        <v>239.232607700383</v>
      </c>
      <c r="N149" s="0" t="n">
        <f aca="false">J149+L149</f>
        <v>8595.90165447939</v>
      </c>
      <c r="O149" s="0" t="n">
        <f aca="false">(1.000001018*(1-K149*K149))/(1+K149*COS(RADIANS(N149)))</f>
        <v>0.987875234443129</v>
      </c>
      <c r="P149" s="0" t="n">
        <f aca="false">M149-0.00569-0.00478*SIN(RADIANS(125.04-1934.136*G149))</f>
        <v>239.223698071956</v>
      </c>
      <c r="Q149" s="0" t="n">
        <f aca="false">23+(26+((21.448-G149*(46.815+G149*(0.00059-G149*0.001813))))/60)/60</f>
        <v>23.4363146319413</v>
      </c>
      <c r="R149" s="0" t="n">
        <f aca="false">Q149+0.00256*COS(RADIANS(125.04-1934.136*G149))</f>
        <v>23.4382068055942</v>
      </c>
      <c r="S149" s="0" t="n">
        <f aca="false">DEGREES(ATAN2(COS(RADIANS(P149)),COS(RADIANS(R149))*SIN(RADIANS(P149))))</f>
        <v>-122.988335836323</v>
      </c>
      <c r="T149" s="0" t="n">
        <f aca="false">DEGREES(ASIN(SIN(RADIANS(R149))*SIN(RADIANS(P149))))</f>
        <v>-19.983158840246</v>
      </c>
      <c r="U149" s="0" t="n">
        <f aca="false">TAN(RADIANS(R149/2))*TAN(RADIANS(R149/2))</f>
        <v>0.0430304345450599</v>
      </c>
      <c r="V149" s="0" t="n">
        <f aca="false">4*DEGREES(U149*SIN(2*RADIANS(I149))-2*K149*SIN(RADIANS(J149))+4*K149*U149*SIN(RADIANS(J149))*COS(2*RADIANS(I149))-0.5*U149*U149*SIN(4*RADIANS(I149))-1.25*K149*K149*SIN(2*RADIANS(J149)))</f>
        <v>14.1409629772126</v>
      </c>
      <c r="W149" s="0" t="n">
        <f aca="false">DEGREES(ACOS(COS(RADIANS(90.833))/(COS(RADIANS($B$3))*COS(RADIANS(T149)))-TAN(RADIANS($B$3))*TAN(RADIANS(T149))))</f>
        <v>43.5036331829937</v>
      </c>
      <c r="X149" s="7" t="n">
        <f aca="false">(720-4*$B$4-V149+$B$5*60)/1440</f>
        <v>0.499915997932491</v>
      </c>
      <c r="Y149" s="7" t="n">
        <f aca="false">X149-W149*4/1440</f>
        <v>0.379072572424175</v>
      </c>
      <c r="Z149" s="7" t="n">
        <f aca="false">X149+W149*4/1440</f>
        <v>0.620759423440807</v>
      </c>
      <c r="AA149" s="10" t="n">
        <f aca="false">8*W149</f>
        <v>348.02906546395</v>
      </c>
      <c r="AB149" s="0" t="n">
        <f aca="false">MOD(E149*1440+V149+4*$B$4-60*$B$5,1440)</f>
        <v>888.120962977211</v>
      </c>
      <c r="AC149" s="0" t="n">
        <f aca="false">IF(AB149/4&lt;0,AB149/4+180,AB149/4-180)</f>
        <v>42.0302407443028</v>
      </c>
      <c r="AD149" s="0" t="n">
        <f aca="false">DEGREES(ACOS(SIN(RADIANS($B$3))*SIN(RADIANS(T149))+COS(RADIANS($B$3))*COS(RADIANS(T149))*COS(RADIANS(AC149))))</f>
        <v>90.4277049340321</v>
      </c>
      <c r="AE149" s="0" t="n">
        <f aca="false">90-AD149</f>
        <v>-0.427704934032093</v>
      </c>
      <c r="AF149" s="0" t="n">
        <f aca="false">IF(AE149&gt;85,0,IF(AE149&gt;5,58.1/TAN(RADIANS(AE149))-0.07/POWER(TAN(RADIANS(AE149)),3)+0.000086/POWER(TAN(RADIANS(AE149)),5),IF(AE149&gt;-0.575,1735+AE149*(-518.2+AE149*(103.4+AE149*(-12.79+AE149*0.711))),-20.772/TAN(RADIANS(AE149)))))/3600</f>
        <v>0.549048974040918</v>
      </c>
      <c r="AG149" s="0" t="n">
        <f aca="false">AE149+AF149</f>
        <v>0.121344040008825</v>
      </c>
      <c r="AH149" s="0" t="n">
        <f aca="false">IF(AC149&gt;0,MOD(DEGREES(ACOS(((SIN(RADIANS($B$3))*COS(RADIANS(AD149)))-SIN(RADIANS(T149)))/(COS(RADIANS($B$3))*SIN(RADIANS(AD149)))))+180,360),MOD(540-DEGREES(ACOS(((SIN(RADIANS($B$3))*COS(RADIANS(AD149)))-SIN(RADIANS(T149)))/(COS(RADIANS($B$3))*SIN(RADIANS(AD149))))),360))</f>
        <v>218.993365319322</v>
      </c>
    </row>
    <row r="150" customFormat="false" ht="15" hidden="false" customHeight="false" outlineLevel="0" collapsed="false">
      <c r="D150" s="6" t="n">
        <f aca="false">$B$7</f>
        <v>44886</v>
      </c>
      <c r="E150" s="7" t="n">
        <f aca="false">E149+0.1/24</f>
        <v>0.620833333333332</v>
      </c>
      <c r="F150" s="8" t="n">
        <f aca="false">D150+2415018.5+E150-$B$5/24</f>
        <v>2459905.07916667</v>
      </c>
      <c r="G150" s="9" t="n">
        <f aca="false">(F150-2451545)/36525</f>
        <v>0.228886493269448</v>
      </c>
      <c r="I150" s="0" t="n">
        <f aca="false">MOD(280.46646+G150*(36000.76983+G150*0.0003032),360)</f>
        <v>240.55643727361</v>
      </c>
      <c r="J150" s="0" t="n">
        <f aca="false">357.52911+G150*(35999.05029-0.0001537*G150)</f>
        <v>8597.22548385643</v>
      </c>
      <c r="K150" s="0" t="n">
        <f aca="false">0.016708634-G150*(0.000042037+0.0000001267*G150)</f>
        <v>0.0166990056607927</v>
      </c>
      <c r="L150" s="0" t="n">
        <f aca="false">SIN(RADIANS(J150))*(1.914602-G150*(0.004817+0.000014*G150))+SIN(RADIANS(2*J150))*(0.019993-0.000101*G150)+SIN(RADIANS(3*J150))*0.000289</f>
        <v>-1.31962185667052</v>
      </c>
      <c r="M150" s="0" t="n">
        <f aca="false">I150+L150</f>
        <v>239.236815416939</v>
      </c>
      <c r="N150" s="0" t="n">
        <f aca="false">J150+L150</f>
        <v>8595.90586199976</v>
      </c>
      <c r="O150" s="0" t="n">
        <f aca="false">(1.000001018*(1-K150*K150))/(1+K150*COS(RADIANS(N150)))</f>
        <v>0.987874401448303</v>
      </c>
      <c r="P150" s="0" t="n">
        <f aca="false">M150-0.00569-0.00478*SIN(RADIANS(125.04-1934.136*G150))</f>
        <v>239.227905802117</v>
      </c>
      <c r="Q150" s="0" t="n">
        <f aca="false">23+(26+((21.448-G150*(46.815+G150*(0.00059-G150*0.001813))))/60)/60</f>
        <v>23.4363146304578</v>
      </c>
      <c r="R150" s="0" t="n">
        <f aca="false">Q150+0.00256*COS(RADIANS(125.04-1934.136*G150))</f>
        <v>23.4382068107509</v>
      </c>
      <c r="S150" s="0" t="n">
        <f aca="false">DEGREES(ATAN2(COS(RADIANS(P150)),COS(RADIANS(R150))*SIN(RADIANS(P150))))</f>
        <v>-122.983964774774</v>
      </c>
      <c r="T150" s="0" t="n">
        <f aca="false">DEGREES(ASIN(SIN(RADIANS(R150))*SIN(RADIANS(P150))))</f>
        <v>-19.9840700490179</v>
      </c>
      <c r="U150" s="0" t="n">
        <f aca="false">TAN(RADIANS(R150/2))*TAN(RADIANS(R150/2))</f>
        <v>0.0430304345645329</v>
      </c>
      <c r="V150" s="0" t="n">
        <f aca="false">4*DEGREES(U150*SIN(2*RADIANS(I150))-2*K150*SIN(RADIANS(J150))+4*K150*U150*SIN(RADIANS(J150))*COS(2*RADIANS(I150))-0.5*U150*U150*SIN(4*RADIANS(I150))-1.25*K150*K150*SIN(2*RADIANS(J150)))</f>
        <v>14.1398943231166</v>
      </c>
      <c r="W150" s="0" t="n">
        <f aca="false">DEGREES(ACOS(COS(RADIANS(90.833))/(COS(RADIANS($B$3))*COS(RADIANS(T150)))-TAN(RADIANS($B$3))*TAN(RADIANS(T150))))</f>
        <v>43.5005130709741</v>
      </c>
      <c r="X150" s="7" t="n">
        <f aca="false">(720-4*$B$4-V150+$B$5*60)/1440</f>
        <v>0.499916740053391</v>
      </c>
      <c r="Y150" s="7" t="n">
        <f aca="false">X150-W150*4/1440</f>
        <v>0.379081981522908</v>
      </c>
      <c r="Z150" s="7" t="n">
        <f aca="false">X150+W150*4/1440</f>
        <v>0.620751498583875</v>
      </c>
      <c r="AA150" s="10" t="n">
        <f aca="false">8*W150</f>
        <v>348.004104567793</v>
      </c>
      <c r="AB150" s="0" t="n">
        <f aca="false">MOD(E150*1440+V150+4*$B$4-60*$B$5,1440)</f>
        <v>894.119894323115</v>
      </c>
      <c r="AC150" s="0" t="n">
        <f aca="false">IF(AB150/4&lt;0,AB150/4+180,AB150/4-180)</f>
        <v>43.5299735807788</v>
      </c>
      <c r="AD150" s="0" t="n">
        <f aca="false">DEGREES(ACOS(SIN(RADIANS($B$3))*SIN(RADIANS(T150))+COS(RADIANS($B$3))*COS(RADIANS(T150))*COS(RADIANS(AC150))))</f>
        <v>90.8412181588349</v>
      </c>
      <c r="AE150" s="0" t="n">
        <f aca="false">90-AD150</f>
        <v>-0.841218158834892</v>
      </c>
      <c r="AF150" s="0" t="n">
        <f aca="false">IF(AE150&gt;85,0,IF(AE150&gt;5,58.1/TAN(RADIANS(AE150))-0.07/POWER(TAN(RADIANS(AE150)),3)+0.000086/POWER(TAN(RADIANS(AE150)),5),IF(AE150&gt;-0.575,1735+AE150*(-518.2+AE150*(103.4+AE150*(-12.79+AE150*0.711))),-20.772/TAN(RADIANS(AE150)))))/3600</f>
        <v>0.392969278297425</v>
      </c>
      <c r="AG150" s="0" t="n">
        <f aca="false">AE150+AF150</f>
        <v>-0.448248880537466</v>
      </c>
      <c r="AH150" s="0" t="n">
        <f aca="false">IF(AC150&gt;0,MOD(DEGREES(ACOS(((SIN(RADIANS($B$3))*COS(RADIANS(AD150)))-SIN(RADIANS(T150)))/(COS(RADIANS($B$3))*SIN(RADIANS(AD150)))))+180,360),MOD(540-DEGREES(ACOS(((SIN(RADIANS($B$3))*COS(RADIANS(AD150)))-SIN(RADIANS(T150)))/(COS(RADIANS($B$3))*SIN(RADIANS(AD150))))),360))</f>
        <v>220.340855792025</v>
      </c>
    </row>
    <row r="151" customFormat="false" ht="15" hidden="false" customHeight="false" outlineLevel="0" collapsed="false">
      <c r="D151" s="6" t="n">
        <f aca="false">$B$7</f>
        <v>44886</v>
      </c>
      <c r="E151" s="7" t="n">
        <f aca="false">E150+0.1/24</f>
        <v>0.624999999999999</v>
      </c>
      <c r="F151" s="8" t="n">
        <f aca="false">D151+2415018.5+E151-$B$5/24</f>
        <v>2459905.08333333</v>
      </c>
      <c r="G151" s="9" t="n">
        <f aca="false">(F151-2451545)/36525</f>
        <v>0.228886607346571</v>
      </c>
      <c r="I151" s="0" t="n">
        <f aca="false">MOD(280.46646+G151*(36000.76983+G151*0.0003032),360)</f>
        <v>240.560544137841</v>
      </c>
      <c r="J151" s="0" t="n">
        <f aca="false">357.52911+G151*(35999.05029-0.0001537*G151)</f>
        <v>8597.22959052447</v>
      </c>
      <c r="K151" s="0" t="n">
        <f aca="false">0.016708634-G151*(0.000042037+0.0000001267*G151)</f>
        <v>0.0166990056559907</v>
      </c>
      <c r="L151" s="0" t="n">
        <f aca="false">SIN(RADIANS(J151))*(1.914602-G151*(0.004817+0.000014*G151))+SIN(RADIANS(2*J151))*(0.019993-0.000101*G151)+SIN(RADIANS(3*J151))*0.000289</f>
        <v>-1.31952099677886</v>
      </c>
      <c r="M151" s="0" t="n">
        <f aca="false">I151+L151</f>
        <v>239.241023141062</v>
      </c>
      <c r="N151" s="0" t="n">
        <f aca="false">J151+L151</f>
        <v>8595.9100695277</v>
      </c>
      <c r="O151" s="0" t="n">
        <f aca="false">(1.000001018*(1-K151*K151))/(1+K151*COS(RADIANS(N151)))</f>
        <v>0.987873568516519</v>
      </c>
      <c r="P151" s="0" t="n">
        <f aca="false">M151-0.00569-0.00478*SIN(RADIANS(125.04-1934.136*G151))</f>
        <v>239.232113539846</v>
      </c>
      <c r="Q151" s="0" t="n">
        <f aca="false">23+(26+((21.448-G151*(46.815+G151*(0.00059-G151*0.001813))))/60)/60</f>
        <v>23.4363146289743</v>
      </c>
      <c r="R151" s="0" t="n">
        <f aca="false">Q151+0.00256*COS(RADIANS(125.04-1934.136*G151))</f>
        <v>23.4382068159076</v>
      </c>
      <c r="S151" s="0" t="n">
        <f aca="false">DEGREES(ATAN2(COS(RADIANS(P151)),COS(RADIANS(R151))*SIN(RADIANS(P151))))</f>
        <v>-122.979593654808</v>
      </c>
      <c r="T151" s="0" t="n">
        <f aca="false">DEGREES(ASIN(SIN(RADIANS(R151))*SIN(RADIANS(P151))))</f>
        <v>-19.9849811523245</v>
      </c>
      <c r="U151" s="0" t="n">
        <f aca="false">TAN(RADIANS(R151/2))*TAN(RADIANS(R151/2))</f>
        <v>0.0430304345840059</v>
      </c>
      <c r="V151" s="0" t="n">
        <f aca="false">4*DEGREES(U151*SIN(2*RADIANS(I151))-2*K151*SIN(RADIANS(J151))+4*K151*U151*SIN(RADIANS(J151))*COS(2*RADIANS(I151))-0.5*U151*U151*SIN(4*RADIANS(I151))-1.25*K151*K151*SIN(2*RADIANS(J151)))</f>
        <v>14.1388254371639</v>
      </c>
      <c r="W151" s="0" t="n">
        <f aca="false">DEGREES(ACOS(COS(RADIANS(90.833))/(COS(RADIANS($B$3))*COS(RADIANS(T151)))-TAN(RADIANS($B$3))*TAN(RADIANS(T151))))</f>
        <v>43.4973931057284</v>
      </c>
      <c r="X151" s="7" t="n">
        <f aca="false">(720-4*$B$4-V151+$B$5*60)/1440</f>
        <v>0.499917482335303</v>
      </c>
      <c r="Y151" s="7" t="n">
        <f aca="false">X151-W151*4/1440</f>
        <v>0.379091390374946</v>
      </c>
      <c r="Z151" s="7" t="n">
        <f aca="false">X151+W151*4/1440</f>
        <v>0.62074357429566</v>
      </c>
      <c r="AA151" s="10" t="n">
        <f aca="false">8*W151</f>
        <v>347.979144845827</v>
      </c>
      <c r="AB151" s="0" t="n">
        <f aca="false">MOD(E151*1440+V151+4*$B$4-60*$B$5,1440)</f>
        <v>900.118825437162</v>
      </c>
      <c r="AC151" s="0" t="n">
        <f aca="false">IF(AB151/4&lt;0,AB151/4+180,AB151/4-180)</f>
        <v>45.0297063592906</v>
      </c>
      <c r="AD151" s="0" t="n">
        <f aca="false">DEGREES(ACOS(SIN(RADIANS($B$3))*SIN(RADIANS(T151))+COS(RADIANS($B$3))*COS(RADIANS(T151))*COS(RADIANS(AC151))))</f>
        <v>91.2663017561137</v>
      </c>
      <c r="AE151" s="0" t="n">
        <f aca="false">90-AD151</f>
        <v>-1.26630175611372</v>
      </c>
      <c r="AF151" s="0" t="n">
        <f aca="false">IF(AE151&gt;85,0,IF(AE151&gt;5,58.1/TAN(RADIANS(AE151))-0.07/POWER(TAN(RADIANS(AE151)),3)+0.000086/POWER(TAN(RADIANS(AE151)),5),IF(AE151&gt;-0.575,1735+AE151*(-518.2+AE151*(103.4+AE151*(-12.79+AE151*0.711))),-20.772/TAN(RADIANS(AE151)))))/3600</f>
        <v>0.261030055969763</v>
      </c>
      <c r="AG151" s="0" t="n">
        <f aca="false">AE151+AF151</f>
        <v>-1.00527170014396</v>
      </c>
      <c r="AH151" s="0" t="n">
        <f aca="false">IF(AC151&gt;0,MOD(DEGREES(ACOS(((SIN(RADIANS($B$3))*COS(RADIANS(AD151)))-SIN(RADIANS(T151)))/(COS(RADIANS($B$3))*SIN(RADIANS(AD151)))))+180,360),MOD(540-DEGREES(ACOS(((SIN(RADIANS($B$3))*COS(RADIANS(AD151)))-SIN(RADIANS(T151)))/(COS(RADIANS($B$3))*SIN(RADIANS(AD151))))),360))</f>
        <v>221.684877107919</v>
      </c>
    </row>
    <row r="152" customFormat="false" ht="15" hidden="false" customHeight="false" outlineLevel="0" collapsed="false">
      <c r="D152" s="6" t="n">
        <f aca="false">$B$7</f>
        <v>44886</v>
      </c>
      <c r="E152" s="7" t="n">
        <f aca="false">E151+0.1/24</f>
        <v>0.629166666666666</v>
      </c>
      <c r="F152" s="8" t="n">
        <f aca="false">D152+2415018.5+E152-$B$5/24</f>
        <v>2459905.0875</v>
      </c>
      <c r="G152" s="9" t="n">
        <f aca="false">(F152-2451545)/36525</f>
        <v>0.228886721423693</v>
      </c>
      <c r="I152" s="0" t="n">
        <f aca="false">MOD(280.46646+G152*(36000.76983+G152*0.0003032),360)</f>
        <v>240.564651002071</v>
      </c>
      <c r="J152" s="0" t="n">
        <f aca="false">357.52911+G152*(35999.05029-0.0001537*G152)</f>
        <v>8597.23369719252</v>
      </c>
      <c r="K152" s="0" t="n">
        <f aca="false">0.016708634-G152*(0.000042037+0.0000001267*G152)</f>
        <v>0.0166990056511886</v>
      </c>
      <c r="L152" s="0" t="n">
        <f aca="false">SIN(RADIANS(J152))*(1.914602-G152*(0.004817+0.000014*G152))+SIN(RADIANS(2*J152))*(0.019993-0.000101*G152)+SIN(RADIANS(3*J152))*0.000289</f>
        <v>-1.31942012979233</v>
      </c>
      <c r="M152" s="0" t="n">
        <f aca="false">I152+L152</f>
        <v>239.245230872278</v>
      </c>
      <c r="N152" s="0" t="n">
        <f aca="false">J152+L152</f>
        <v>8595.91427706273</v>
      </c>
      <c r="O152" s="0" t="n">
        <f aca="false">(1.000001018*(1-K152*K152))/(1+K152*COS(RADIANS(N152)))</f>
        <v>0.987872735647874</v>
      </c>
      <c r="P152" s="0" t="n">
        <f aca="false">M152-0.00569-0.00478*SIN(RADIANS(125.04-1934.136*G152))</f>
        <v>239.236321284667</v>
      </c>
      <c r="Q152" s="0" t="n">
        <f aca="false">23+(26+((21.448-G152*(46.815+G152*(0.00059-G152*0.001813))))/60)/60</f>
        <v>23.4363146274908</v>
      </c>
      <c r="R152" s="0" t="n">
        <f aca="false">Q152+0.00256*COS(RADIANS(125.04-1934.136*G152))</f>
        <v>23.4382068210642</v>
      </c>
      <c r="S152" s="0" t="n">
        <f aca="false">DEGREES(ATAN2(COS(RADIANS(P152)),COS(RADIANS(R152))*SIN(RADIANS(P152))))</f>
        <v>-122.975222476919</v>
      </c>
      <c r="T152" s="0" t="n">
        <f aca="false">DEGREES(ASIN(SIN(RADIANS(R152))*SIN(RADIANS(P152))))</f>
        <v>-19.985892150056</v>
      </c>
      <c r="U152" s="0" t="n">
        <f aca="false">TAN(RADIANS(R152/2))*TAN(RADIANS(R152/2))</f>
        <v>0.0430304346034787</v>
      </c>
      <c r="V152" s="0" t="n">
        <f aca="false">4*DEGREES(U152*SIN(2*RADIANS(I152))-2*K152*SIN(RADIANS(J152))+4*K152*U152*SIN(RADIANS(J152))*COS(2*RADIANS(I152))-0.5*U152*U152*SIN(4*RADIANS(I152))-1.25*K152*K152*SIN(2*RADIANS(J152)))</f>
        <v>14.1377563194883</v>
      </c>
      <c r="W152" s="0" t="n">
        <f aca="false">DEGREES(ACOS(COS(RADIANS(90.833))/(COS(RADIANS($B$3))*COS(RADIANS(T152)))-TAN(RADIANS($B$3))*TAN(RADIANS(T152))))</f>
        <v>43.4942732876583</v>
      </c>
      <c r="X152" s="7" t="n">
        <f aca="false">(720-4*$B$4-V152+$B$5*60)/1440</f>
        <v>0.499918224778133</v>
      </c>
      <c r="Y152" s="7" t="n">
        <f aca="false">X152-W152*4/1440</f>
        <v>0.379100798979082</v>
      </c>
      <c r="Z152" s="7" t="n">
        <f aca="false">X152+W152*4/1440</f>
        <v>0.620735650577184</v>
      </c>
      <c r="AA152" s="10" t="n">
        <f aca="false">8*W152</f>
        <v>347.954186301267</v>
      </c>
      <c r="AB152" s="0" t="n">
        <f aca="false">MOD(E152*1440+V152+4*$B$4-60*$B$5,1440)</f>
        <v>906.117756319487</v>
      </c>
      <c r="AC152" s="0" t="n">
        <f aca="false">IF(AB152/4&lt;0,AB152/4+180,AB152/4-180)</f>
        <v>46.5294390798717</v>
      </c>
      <c r="AD152" s="0" t="n">
        <f aca="false">DEGREES(ACOS(SIN(RADIANS($B$3))*SIN(RADIANS(T152))+COS(RADIANS($B$3))*COS(RADIANS(T152))*COS(RADIANS(AC152))))</f>
        <v>91.7026929850259</v>
      </c>
      <c r="AE152" s="0" t="n">
        <f aca="false">90-AD152</f>
        <v>-1.70269298502591</v>
      </c>
      <c r="AF152" s="0" t="n">
        <f aca="false">IF(AE152&gt;85,0,IF(AE152&gt;5,58.1/TAN(RADIANS(AE152))-0.07/POWER(TAN(RADIANS(AE152)),3)+0.000086/POWER(TAN(RADIANS(AE152)),5),IF(AE152&gt;-0.575,1735+AE152*(-518.2+AE152*(103.4+AE152*(-12.79+AE152*0.711))),-20.772/TAN(RADIANS(AE152)))))/3600</f>
        <v>0.194103883907532</v>
      </c>
      <c r="AG152" s="0" t="n">
        <f aca="false">AE152+AF152</f>
        <v>-1.50858910111837</v>
      </c>
      <c r="AH152" s="0" t="n">
        <f aca="false">IF(AC152&gt;0,MOD(DEGREES(ACOS(((SIN(RADIANS($B$3))*COS(RADIANS(AD152)))-SIN(RADIANS(T152)))/(COS(RADIANS($B$3))*SIN(RADIANS(AD152)))))+180,360),MOD(540-DEGREES(ACOS(((SIN(RADIANS($B$3))*COS(RADIANS(AD152)))-SIN(RADIANS(T152)))/(COS(RADIANS($B$3))*SIN(RADIANS(AD152))))),360))</f>
        <v>223.025483171742</v>
      </c>
    </row>
    <row r="153" customFormat="false" ht="15" hidden="false" customHeight="false" outlineLevel="0" collapsed="false">
      <c r="D153" s="6" t="n">
        <f aca="false">$B$7</f>
        <v>44886</v>
      </c>
      <c r="E153" s="7" t="n">
        <f aca="false">E152+0.1/24</f>
        <v>0.633333333333332</v>
      </c>
      <c r="F153" s="8" t="n">
        <f aca="false">D153+2415018.5+E153-$B$5/24</f>
        <v>2459905.09166667</v>
      </c>
      <c r="G153" s="9" t="n">
        <f aca="false">(F153-2451545)/36525</f>
        <v>0.228886835500802</v>
      </c>
      <c r="I153" s="0" t="n">
        <f aca="false">MOD(280.46646+G153*(36000.76983+G153*0.0003032),360)</f>
        <v>240.568757865844</v>
      </c>
      <c r="J153" s="0" t="n">
        <f aca="false">357.52911+G153*(35999.05029-0.0001537*G153)</f>
        <v>8597.23780386011</v>
      </c>
      <c r="K153" s="0" t="n">
        <f aca="false">0.016708634-G153*(0.000042037+0.0000001267*G153)</f>
        <v>0.0166990056463865</v>
      </c>
      <c r="L153" s="0" t="n">
        <f aca="false">SIN(RADIANS(J153))*(1.914602-G153*(0.004817+0.000014*G153))+SIN(RADIANS(2*J153))*(0.019993-0.000101*G153)+SIN(RADIANS(3*J153))*0.000289</f>
        <v>-1.3193192557227</v>
      </c>
      <c r="M153" s="0" t="n">
        <f aca="false">I153+L153</f>
        <v>239.249438610121</v>
      </c>
      <c r="N153" s="0" t="n">
        <f aca="false">J153+L153</f>
        <v>8595.91848460439</v>
      </c>
      <c r="O153" s="0" t="n">
        <f aca="false">(1.000001018*(1-K153*K153))/(1+K153*COS(RADIANS(N153)))</f>
        <v>0.987871902842467</v>
      </c>
      <c r="P153" s="0" t="n">
        <f aca="false">M153-0.00569-0.00478*SIN(RADIANS(125.04-1934.136*G153))</f>
        <v>239.240529036115</v>
      </c>
      <c r="Q153" s="0" t="n">
        <f aca="false">23+(26+((21.448-G153*(46.815+G153*(0.00059-G153*0.001813))))/60)/60</f>
        <v>23.4363146260073</v>
      </c>
      <c r="R153" s="0" t="n">
        <f aca="false">Q153+0.00256*COS(RADIANS(125.04-1934.136*G153))</f>
        <v>23.4382068262209</v>
      </c>
      <c r="S153" s="0" t="n">
        <f aca="false">DEGREES(ATAN2(COS(RADIANS(P153)),COS(RADIANS(R153))*SIN(RADIANS(P153))))</f>
        <v>-122.970851241595</v>
      </c>
      <c r="T153" s="0" t="n">
        <f aca="false">DEGREES(ASIN(SIN(RADIANS(R153))*SIN(RADIANS(P153))))</f>
        <v>-19.9868030421045</v>
      </c>
      <c r="U153" s="0" t="n">
        <f aca="false">TAN(RADIANS(R153/2))*TAN(RADIANS(R153/2))</f>
        <v>0.0430304346229515</v>
      </c>
      <c r="V153" s="0" t="n">
        <f aca="false">4*DEGREES(U153*SIN(2*RADIANS(I153))-2*K153*SIN(RADIANS(J153))+4*K153*U153*SIN(RADIANS(J153))*COS(2*RADIANS(I153))-0.5*U153*U153*SIN(4*RADIANS(I153))-1.25*K153*K153*SIN(2*RADIANS(J153)))</f>
        <v>14.1366869702227</v>
      </c>
      <c r="W153" s="0" t="n">
        <f aca="false">DEGREES(ACOS(COS(RADIANS(90.833))/(COS(RADIANS($B$3))*COS(RADIANS(T153)))-TAN(RADIANS($B$3))*TAN(RADIANS(T153))))</f>
        <v>43.4911536171602</v>
      </c>
      <c r="X153" s="7" t="n">
        <f aca="false">(720-4*$B$4-V153+$B$5*60)/1440</f>
        <v>0.49991896738179</v>
      </c>
      <c r="Y153" s="7" t="n">
        <f aca="false">X153-W153*4/1440</f>
        <v>0.379110207334123</v>
      </c>
      <c r="Z153" s="7" t="n">
        <f aca="false">X153+W153*4/1440</f>
        <v>0.620727727429457</v>
      </c>
      <c r="AA153" s="10" t="n">
        <f aca="false">8*W153</f>
        <v>347.929228937281</v>
      </c>
      <c r="AB153" s="0" t="n">
        <f aca="false">MOD(E153*1440+V153+4*$B$4-60*$B$5,1440)</f>
        <v>912.116686970221</v>
      </c>
      <c r="AC153" s="0" t="n">
        <f aca="false">IF(AB153/4&lt;0,AB153/4+180,AB153/4-180)</f>
        <v>48.0291717425553</v>
      </c>
      <c r="AD153" s="0" t="n">
        <f aca="false">DEGREES(ACOS(SIN(RADIANS($B$3))*SIN(RADIANS(T153))+COS(RADIANS($B$3))*COS(RADIANS(T153))*COS(RADIANS(AC153))))</f>
        <v>92.1501252103529</v>
      </c>
      <c r="AE153" s="0" t="n">
        <f aca="false">90-AD153</f>
        <v>-2.15012521035288</v>
      </c>
      <c r="AF153" s="0" t="n">
        <f aca="false">IF(AE153&gt;85,0,IF(AE153&gt;5,58.1/TAN(RADIANS(AE153))-0.07/POWER(TAN(RADIANS(AE153)),3)+0.000086/POWER(TAN(RADIANS(AE153)),5),IF(AE153&gt;-0.575,1735+AE153*(-518.2+AE153*(103.4+AE153*(-12.79+AE153*0.711))),-20.772/TAN(RADIANS(AE153)))))/3600</f>
        <v>0.153684745039906</v>
      </c>
      <c r="AG153" s="0" t="n">
        <f aca="false">AE153+AF153</f>
        <v>-1.99644046531298</v>
      </c>
      <c r="AH153" s="0" t="n">
        <f aca="false">IF(AC153&gt;0,MOD(DEGREES(ACOS(((SIN(RADIANS($B$3))*COS(RADIANS(AD153)))-SIN(RADIANS(T153)))/(COS(RADIANS($B$3))*SIN(RADIANS(AD153)))))+180,360),MOD(540-DEGREES(ACOS(((SIN(RADIANS($B$3))*COS(RADIANS(AD153)))-SIN(RADIANS(T153)))/(COS(RADIANS($B$3))*SIN(RADIANS(AD153))))),360))</f>
        <v>224.362740896757</v>
      </c>
    </row>
    <row r="154" customFormat="false" ht="15" hidden="false" customHeight="false" outlineLevel="0" collapsed="false">
      <c r="D154" s="6" t="n">
        <f aca="false">$B$7</f>
        <v>44886</v>
      </c>
      <c r="E154" s="7" t="n">
        <f aca="false">E153+0.1/24</f>
        <v>0.637499999999999</v>
      </c>
      <c r="F154" s="8" t="n">
        <f aca="false">D154+2415018.5+E154-$B$5/24</f>
        <v>2459905.09583333</v>
      </c>
      <c r="G154" s="9" t="n">
        <f aca="false">(F154-2451545)/36525</f>
        <v>0.228886949577924</v>
      </c>
      <c r="I154" s="0" t="n">
        <f aca="false">MOD(280.46646+G154*(36000.76983+G154*0.0003032),360)</f>
        <v>240.572864730073</v>
      </c>
      <c r="J154" s="0" t="n">
        <f aca="false">357.52911+G154*(35999.05029-0.0001537*G154)</f>
        <v>8597.24191052816</v>
      </c>
      <c r="K154" s="0" t="n">
        <f aca="false">0.016708634-G154*(0.000042037+0.0000001267*G154)</f>
        <v>0.0166990056415844</v>
      </c>
      <c r="L154" s="0" t="n">
        <f aca="false">SIN(RADIANS(J154))*(1.914602-G154*(0.004817+0.000014*G154))+SIN(RADIANS(2*J154))*(0.019993-0.000101*G154)+SIN(RADIANS(3*J154))*0.000289</f>
        <v>-1.31921837454797</v>
      </c>
      <c r="M154" s="0" t="n">
        <f aca="false">I154+L154</f>
        <v>239.253646355525</v>
      </c>
      <c r="N154" s="0" t="n">
        <f aca="false">J154+L154</f>
        <v>8595.92269215361</v>
      </c>
      <c r="O154" s="0" t="n">
        <f aca="false">(1.000001018*(1-K154*K154))/(1+K154*COS(RADIANS(N154)))</f>
        <v>0.987871070100115</v>
      </c>
      <c r="P154" s="0" t="n">
        <f aca="false">M154-0.00569-0.00478*SIN(RADIANS(125.04-1934.136*G154))</f>
        <v>239.244736795125</v>
      </c>
      <c r="Q154" s="0" t="n">
        <f aca="false">23+(26+((21.448-G154*(46.815+G154*(0.00059-G154*0.001813))))/60)/60</f>
        <v>23.4363146245239</v>
      </c>
      <c r="R154" s="0" t="n">
        <f aca="false">Q154+0.00256*COS(RADIANS(125.04-1934.136*G154))</f>
        <v>23.4382068313774</v>
      </c>
      <c r="S154" s="0" t="n">
        <f aca="false">DEGREES(ATAN2(COS(RADIANS(P154)),COS(RADIANS(R154))*SIN(RADIANS(P154))))</f>
        <v>-122.966479947867</v>
      </c>
      <c r="T154" s="0" t="n">
        <f aca="false">DEGREES(ASIN(SIN(RADIANS(R154))*SIN(RADIANS(P154))))</f>
        <v>-19.9877138286653</v>
      </c>
      <c r="U154" s="0" t="n">
        <f aca="false">TAN(RADIANS(R154/2))*TAN(RADIANS(R154/2))</f>
        <v>0.0430304346424241</v>
      </c>
      <c r="V154" s="0" t="n">
        <f aca="false">4*DEGREES(U154*SIN(2*RADIANS(I154))-2*K154*SIN(RADIANS(J154))+4*K154*U154*SIN(RADIANS(J154))*COS(2*RADIANS(I154))-0.5*U154*U154*SIN(4*RADIANS(I154))-1.25*K154*K154*SIN(2*RADIANS(J154)))</f>
        <v>14.1356173891427</v>
      </c>
      <c r="W154" s="0" t="n">
        <f aca="false">DEGREES(ACOS(COS(RADIANS(90.833))/(COS(RADIANS($B$3))*COS(RADIANS(T154)))-TAN(RADIANS($B$3))*TAN(RADIANS(T154))))</f>
        <v>43.4880340935911</v>
      </c>
      <c r="X154" s="7" t="n">
        <f aca="false">(720-4*$B$4-V154+$B$5*60)/1440</f>
        <v>0.499919710146429</v>
      </c>
      <c r="Y154" s="7" t="n">
        <f aca="false">X154-W154*4/1440</f>
        <v>0.379119615442009</v>
      </c>
      <c r="Z154" s="7" t="n">
        <f aca="false">X154+W154*4/1440</f>
        <v>0.620719804850848</v>
      </c>
      <c r="AA154" s="10" t="n">
        <f aca="false">8*W154</f>
        <v>347.904272748729</v>
      </c>
      <c r="AB154" s="0" t="n">
        <f aca="false">MOD(E154*1440+V154+4*$B$4-60*$B$5,1440)</f>
        <v>918.115617389141</v>
      </c>
      <c r="AC154" s="0" t="n">
        <f aca="false">IF(AB154/4&lt;0,AB154/4+180,AB154/4-180)</f>
        <v>49.5289043472853</v>
      </c>
      <c r="AD154" s="0" t="n">
        <f aca="false">DEGREES(ACOS(SIN(RADIANS($B$3))*SIN(RADIANS(T154))+COS(RADIANS($B$3))*COS(RADIANS(T154))*COS(RADIANS(AC154))))</f>
        <v>92.6083281816632</v>
      </c>
      <c r="AE154" s="0" t="n">
        <f aca="false">90-AD154</f>
        <v>-2.60832818166324</v>
      </c>
      <c r="AF154" s="0" t="n">
        <f aca="false">IF(AE154&gt;85,0,IF(AE154&gt;5,58.1/TAN(RADIANS(AE154))-0.07/POWER(TAN(RADIANS(AE154)),3)+0.000086/POWER(TAN(RADIANS(AE154)),5),IF(AE154&gt;-0.575,1735+AE154*(-518.2+AE154*(103.4+AE154*(-12.79+AE154*0.711))),-20.772/TAN(RADIANS(AE154)))))/3600</f>
        <v>0.126658999214284</v>
      </c>
      <c r="AG154" s="0" t="n">
        <f aca="false">AE154+AF154</f>
        <v>-2.48166918244896</v>
      </c>
      <c r="AH154" s="0" t="n">
        <f aca="false">IF(AC154&gt;0,MOD(DEGREES(ACOS(((SIN(RADIANS($B$3))*COS(RADIANS(AD154)))-SIN(RADIANS(T154)))/(COS(RADIANS($B$3))*SIN(RADIANS(AD154)))))+180,360),MOD(540-DEGREES(ACOS(((SIN(RADIANS($B$3))*COS(RADIANS(AD154)))-SIN(RADIANS(T154)))/(COS(RADIANS($B$3))*SIN(RADIANS(AD154))))),360))</f>
        <v>225.696730094755</v>
      </c>
    </row>
    <row r="155" customFormat="false" ht="15" hidden="false" customHeight="false" outlineLevel="0" collapsed="false">
      <c r="D155" s="6" t="n">
        <f aca="false">$B$7</f>
        <v>44886</v>
      </c>
      <c r="E155" s="7" t="n">
        <f aca="false">E154+0.1/24</f>
        <v>0.641666666666666</v>
      </c>
      <c r="F155" s="8" t="n">
        <f aca="false">D155+2415018.5+E155-$B$5/24</f>
        <v>2459905.1</v>
      </c>
      <c r="G155" s="9" t="n">
        <f aca="false">(F155-2451545)/36525</f>
        <v>0.228887063655033</v>
      </c>
      <c r="I155" s="0" t="n">
        <f aca="false">MOD(280.46646+G155*(36000.76983+G155*0.0003032),360)</f>
        <v>240.576971593846</v>
      </c>
      <c r="J155" s="0" t="n">
        <f aca="false">357.52911+G155*(35999.05029-0.0001537*G155)</f>
        <v>8597.24601719574</v>
      </c>
      <c r="K155" s="0" t="n">
        <f aca="false">0.016708634-G155*(0.000042037+0.0000001267*G155)</f>
        <v>0.0166990056367824</v>
      </c>
      <c r="L155" s="0" t="n">
        <f aca="false">SIN(RADIANS(J155))*(1.914602-G155*(0.004817+0.000014*G155))+SIN(RADIANS(2*J155))*(0.019993-0.000101*G155)+SIN(RADIANS(3*J155))*0.000289</f>
        <v>-1.31911748629121</v>
      </c>
      <c r="M155" s="0" t="n">
        <f aca="false">I155+L155</f>
        <v>239.257854107555</v>
      </c>
      <c r="N155" s="0" t="n">
        <f aca="false">J155+L155</f>
        <v>8595.92689970945</v>
      </c>
      <c r="O155" s="0" t="n">
        <f aca="false">(1.000001018*(1-K155*K155))/(1+K155*COS(RADIANS(N155)))</f>
        <v>0.987870237421009</v>
      </c>
      <c r="P155" s="0" t="n">
        <f aca="false">M155-0.00569-0.00478*SIN(RADIANS(125.04-1934.136*G155))</f>
        <v>239.24894456076</v>
      </c>
      <c r="Q155" s="0" t="n">
        <f aca="false">23+(26+((21.448-G155*(46.815+G155*(0.00059-G155*0.001813))))/60)/60</f>
        <v>23.4363146230404</v>
      </c>
      <c r="R155" s="0" t="n">
        <f aca="false">Q155+0.00256*COS(RADIANS(125.04-1934.136*G155))</f>
        <v>23.438206836534</v>
      </c>
      <c r="S155" s="0" t="n">
        <f aca="false">DEGREES(ATAN2(COS(RADIANS(P155)),COS(RADIANS(R155))*SIN(RADIANS(P155))))</f>
        <v>-122.96210859671</v>
      </c>
      <c r="T155" s="0" t="n">
        <f aca="false">DEGREES(ASIN(SIN(RADIANS(R155))*SIN(RADIANS(P155))))</f>
        <v>-19.9886245095286</v>
      </c>
      <c r="U155" s="0" t="n">
        <f aca="false">TAN(RADIANS(R155/2))*TAN(RADIANS(R155/2))</f>
        <v>0.0430304346618966</v>
      </c>
      <c r="V155" s="0" t="n">
        <f aca="false">4*DEGREES(U155*SIN(2*RADIANS(I155))-2*K155*SIN(RADIANS(J155))+4*K155*U155*SIN(RADIANS(J155))*COS(2*RADIANS(I155))-0.5*U155*U155*SIN(4*RADIANS(I155))-1.25*K155*K155*SIN(2*RADIANS(J155)))</f>
        <v>14.1345475765009</v>
      </c>
      <c r="W155" s="0" t="n">
        <f aca="false">DEGREES(ACOS(COS(RADIANS(90.833))/(COS(RADIANS($B$3))*COS(RADIANS(T155)))-TAN(RADIANS($B$3))*TAN(RADIANS(T155))))</f>
        <v>43.4849147176957</v>
      </c>
      <c r="X155" s="7" t="n">
        <f aca="false">(720-4*$B$4-V155+$B$5*60)/1440</f>
        <v>0.499920453071874</v>
      </c>
      <c r="Y155" s="7" t="n">
        <f aca="false">X155-W155*4/1440</f>
        <v>0.379129023300497</v>
      </c>
      <c r="Z155" s="7" t="n">
        <f aca="false">X155+W155*4/1440</f>
        <v>0.620711882843251</v>
      </c>
      <c r="AA155" s="10" t="n">
        <f aca="false">8*W155</f>
        <v>347.879317741566</v>
      </c>
      <c r="AB155" s="0" t="n">
        <f aca="false">MOD(E155*1440+V155+4*$B$4-60*$B$5,1440)</f>
        <v>924.114547576499</v>
      </c>
      <c r="AC155" s="0" t="n">
        <f aca="false">IF(AB155/4&lt;0,AB155/4+180,AB155/4-180)</f>
        <v>51.0286368941248</v>
      </c>
      <c r="AD155" s="0" t="n">
        <f aca="false">DEGREES(ACOS(SIN(RADIANS($B$3))*SIN(RADIANS(T155))+COS(RADIANS($B$3))*COS(RADIANS(T155))*COS(RADIANS(AC155))))</f>
        <v>93.0770282955005</v>
      </c>
      <c r="AE155" s="0" t="n">
        <f aca="false">90-AD155</f>
        <v>-3.07702829550048</v>
      </c>
      <c r="AF155" s="0" t="n">
        <f aca="false">IF(AE155&gt;85,0,IF(AE155&gt;5,58.1/TAN(RADIANS(AE155))-0.07/POWER(TAN(RADIANS(AE155)),3)+0.000086/POWER(TAN(RADIANS(AE155)),5),IF(AE155&gt;-0.575,1735+AE155*(-518.2+AE155*(103.4+AE155*(-12.79+AE155*0.711))),-20.772/TAN(RADIANS(AE155)))))/3600</f>
        <v>0.107336925413469</v>
      </c>
      <c r="AG155" s="0" t="n">
        <f aca="false">AE155+AF155</f>
        <v>-2.96969137008701</v>
      </c>
      <c r="AH155" s="0" t="n">
        <f aca="false">IF(AC155&gt;0,MOD(DEGREES(ACOS(((SIN(RADIANS($B$3))*COS(RADIANS(AD155)))-SIN(RADIANS(T155)))/(COS(RADIANS($B$3))*SIN(RADIANS(AD155)))))+180,360),MOD(540-DEGREES(ACOS(((SIN(RADIANS($B$3))*COS(RADIANS(AD155)))-SIN(RADIANS(T155)))/(COS(RADIANS($B$3))*SIN(RADIANS(AD155))))),360))</f>
        <v>227.027543349317</v>
      </c>
    </row>
    <row r="156" customFormat="false" ht="15" hidden="false" customHeight="false" outlineLevel="0" collapsed="false">
      <c r="D156" s="6" t="n">
        <f aca="false">$B$7</f>
        <v>44886</v>
      </c>
      <c r="E156" s="7" t="n">
        <f aca="false">E155+0.1/24</f>
        <v>0.645833333333332</v>
      </c>
      <c r="F156" s="8" t="n">
        <f aca="false">D156+2415018.5+E156-$B$5/24</f>
        <v>2459905.10416667</v>
      </c>
      <c r="G156" s="9" t="n">
        <f aca="false">(F156-2451545)/36525</f>
        <v>0.228887177732155</v>
      </c>
      <c r="I156" s="0" t="n">
        <f aca="false">MOD(280.46646+G156*(36000.76983+G156*0.0003032),360)</f>
        <v>240.581078458077</v>
      </c>
      <c r="J156" s="0" t="n">
        <f aca="false">357.52911+G156*(35999.05029-0.0001537*G156)</f>
        <v>8597.25012386379</v>
      </c>
      <c r="K156" s="0" t="n">
        <f aca="false">0.016708634-G156*(0.000042037+0.0000001267*G156)</f>
        <v>0.0166990056319803</v>
      </c>
      <c r="L156" s="0" t="n">
        <f aca="false">SIN(RADIANS(J156))*(1.914602-G156*(0.004817+0.000014*G156))+SIN(RADIANS(2*J156))*(0.019993-0.000101*G156)+SIN(RADIANS(3*J156))*0.000289</f>
        <v>-1.31901659093044</v>
      </c>
      <c r="M156" s="0" t="n">
        <f aca="false">I156+L156</f>
        <v>239.262061867147</v>
      </c>
      <c r="N156" s="0" t="n">
        <f aca="false">J156+L156</f>
        <v>8595.93110727286</v>
      </c>
      <c r="O156" s="0" t="n">
        <f aca="false">(1.000001018*(1-K156*K156))/(1+K156*COS(RADIANS(N156)))</f>
        <v>0.987869404804969</v>
      </c>
      <c r="P156" s="0" t="n">
        <f aca="false">M156-0.00569-0.00478*SIN(RADIANS(125.04-1934.136*G156))</f>
        <v>239.253152333958</v>
      </c>
      <c r="Q156" s="0" t="n">
        <f aca="false">23+(26+((21.448-G156*(46.815+G156*(0.00059-G156*0.001813))))/60)/60</f>
        <v>23.4363146215569</v>
      </c>
      <c r="R156" s="0" t="n">
        <f aca="false">Q156+0.00256*COS(RADIANS(125.04-1934.136*G156))</f>
        <v>23.4382068416905</v>
      </c>
      <c r="S156" s="0" t="n">
        <f aca="false">DEGREES(ATAN2(COS(RADIANS(P156)),COS(RADIANS(R156))*SIN(RADIANS(P156))))</f>
        <v>-122.957737187153</v>
      </c>
      <c r="T156" s="0" t="n">
        <f aca="false">DEGREES(ASIN(SIN(RADIANS(R156))*SIN(RADIANS(P156))))</f>
        <v>-19.9895350848902</v>
      </c>
      <c r="U156" s="0" t="n">
        <f aca="false">TAN(RADIANS(R156/2))*TAN(RADIANS(R156/2))</f>
        <v>0.0430304346813691</v>
      </c>
      <c r="V156" s="0" t="n">
        <f aca="false">4*DEGREES(U156*SIN(2*RADIANS(I156))-2*K156*SIN(RADIANS(J156))+4*K156*U156*SIN(RADIANS(J156))*COS(2*RADIANS(I156))-0.5*U156*U156*SIN(4*RADIANS(I156))-1.25*K156*K156*SIN(2*RADIANS(J156)))</f>
        <v>14.1334775320726</v>
      </c>
      <c r="W156" s="0" t="n">
        <f aca="false">DEGREES(ACOS(COS(RADIANS(90.833))/(COS(RADIANS($B$3))*COS(RADIANS(T156)))-TAN(RADIANS($B$3))*TAN(RADIANS(T156))))</f>
        <v>43.4817954888298</v>
      </c>
      <c r="X156" s="7" t="n">
        <f aca="false">(720-4*$B$4-V156+$B$5*60)/1440</f>
        <v>0.499921196158283</v>
      </c>
      <c r="Y156" s="7" t="n">
        <f aca="false">X156-W156*4/1440</f>
        <v>0.379138430911533</v>
      </c>
      <c r="Z156" s="7" t="n">
        <f aca="false">X156+W156*4/1440</f>
        <v>0.620703961405033</v>
      </c>
      <c r="AA156" s="10" t="n">
        <f aca="false">8*W156</f>
        <v>347.854363910639</v>
      </c>
      <c r="AB156" s="0" t="n">
        <f aca="false">MOD(E156*1440+V156+4*$B$4-60*$B$5,1440)</f>
        <v>930.113477532071</v>
      </c>
      <c r="AC156" s="0" t="n">
        <f aca="false">IF(AB156/4&lt;0,AB156/4+180,AB156/4-180)</f>
        <v>52.5283693830178</v>
      </c>
      <c r="AD156" s="0" t="n">
        <f aca="false">DEGREES(ACOS(SIN(RADIANS($B$3))*SIN(RADIANS(T156))+COS(RADIANS($B$3))*COS(RADIANS(T156))*COS(RADIANS(AC156))))</f>
        <v>93.5559488420516</v>
      </c>
      <c r="AE156" s="0" t="n">
        <f aca="false">90-AD156</f>
        <v>-3.55594884205163</v>
      </c>
      <c r="AF156" s="0" t="n">
        <f aca="false">IF(AE156&gt;85,0,IF(AE156&gt;5,58.1/TAN(RADIANS(AE156))-0.07/POWER(TAN(RADIANS(AE156)),3)+0.000086/POWER(TAN(RADIANS(AE156)),5),IF(AE156&gt;-0.575,1735+AE156*(-518.2+AE156*(103.4+AE156*(-12.79+AE156*0.711))),-20.772/TAN(RADIANS(AE156)))))/3600</f>
        <v>0.0928506250772928</v>
      </c>
      <c r="AG156" s="0" t="n">
        <f aca="false">AE156+AF156</f>
        <v>-3.46309821697434</v>
      </c>
      <c r="AH156" s="0" t="n">
        <f aca="false">IF(AC156&gt;0,MOD(DEGREES(ACOS(((SIN(RADIANS($B$3))*COS(RADIANS(AD156)))-SIN(RADIANS(T156)))/(COS(RADIANS($B$3))*SIN(RADIANS(AD156)))))+180,360),MOD(540-DEGREES(ACOS(((SIN(RADIANS($B$3))*COS(RADIANS(AD156)))-SIN(RADIANS(T156)))/(COS(RADIANS($B$3))*SIN(RADIANS(AD156))))),360))</f>
        <v>228.355285873351</v>
      </c>
    </row>
    <row r="157" customFormat="false" ht="15" hidden="false" customHeight="false" outlineLevel="0" collapsed="false">
      <c r="D157" s="6" t="n">
        <f aca="false">$B$7</f>
        <v>44886</v>
      </c>
      <c r="E157" s="7" t="n">
        <f aca="false">E156+0.1/24</f>
        <v>0.649999999999999</v>
      </c>
      <c r="F157" s="8" t="n">
        <f aca="false">D157+2415018.5+E157-$B$5/24</f>
        <v>2459905.10833333</v>
      </c>
      <c r="G157" s="9" t="n">
        <f aca="false">(F157-2451545)/36525</f>
        <v>0.228887291809265</v>
      </c>
      <c r="I157" s="0" t="n">
        <f aca="false">MOD(280.46646+G157*(36000.76983+G157*0.0003032),360)</f>
        <v>240.585185321848</v>
      </c>
      <c r="J157" s="0" t="n">
        <f aca="false">357.52911+G157*(35999.05029-0.0001537*G157)</f>
        <v>8597.25423053138</v>
      </c>
      <c r="K157" s="0" t="n">
        <f aca="false">0.016708634-G157*(0.000042037+0.0000001267*G157)</f>
        <v>0.0166990056271782</v>
      </c>
      <c r="L157" s="0" t="n">
        <f aca="false">SIN(RADIANS(J157))*(1.914602-G157*(0.004817+0.000014*G157))+SIN(RADIANS(2*J157))*(0.019993-0.000101*G157)+SIN(RADIANS(3*J157))*0.000289</f>
        <v>-1.31891568848864</v>
      </c>
      <c r="M157" s="0" t="n">
        <f aca="false">I157+L157</f>
        <v>239.26626963336</v>
      </c>
      <c r="N157" s="0" t="n">
        <f aca="false">J157+L157</f>
        <v>8595.93531484289</v>
      </c>
      <c r="O157" s="0" t="n">
        <f aca="false">(1.000001018*(1-K157*K157))/(1+K157*COS(RADIANS(N157)))</f>
        <v>0.987868572252184</v>
      </c>
      <c r="P157" s="0" t="n">
        <f aca="false">M157-0.00569-0.00478*SIN(RADIANS(125.04-1934.136*G157))</f>
        <v>239.257360113777</v>
      </c>
      <c r="Q157" s="0" t="n">
        <f aca="false">23+(26+((21.448-G157*(46.815+G157*(0.00059-G157*0.001813))))/60)/60</f>
        <v>23.4363146200734</v>
      </c>
      <c r="R157" s="0" t="n">
        <f aca="false">Q157+0.00256*COS(RADIANS(125.04-1934.136*G157))</f>
        <v>23.438206846847</v>
      </c>
      <c r="S157" s="0" t="n">
        <f aca="false">DEGREES(ATAN2(COS(RADIANS(P157)),COS(RADIANS(R157))*SIN(RADIANS(P157))))</f>
        <v>-122.953365720176</v>
      </c>
      <c r="T157" s="0" t="n">
        <f aca="false">DEGREES(ASIN(SIN(RADIANS(R157))*SIN(RADIANS(P157))))</f>
        <v>-19.9904455545393</v>
      </c>
      <c r="U157" s="0" t="n">
        <f aca="false">TAN(RADIANS(R157/2))*TAN(RADIANS(R157/2))</f>
        <v>0.0430304347008414</v>
      </c>
      <c r="V157" s="0" t="n">
        <f aca="false">4*DEGREES(U157*SIN(2*RADIANS(I157))-2*K157*SIN(RADIANS(J157))+4*K157*U157*SIN(RADIANS(J157))*COS(2*RADIANS(I157))-0.5*U157*U157*SIN(4*RADIANS(I157))-1.25*K157*K157*SIN(2*RADIANS(J157)))</f>
        <v>14.1324072561109</v>
      </c>
      <c r="W157" s="0" t="n">
        <f aca="false">DEGREES(ACOS(COS(RADIANS(90.833))/(COS(RADIANS($B$3))*COS(RADIANS(T157)))-TAN(RADIANS($B$3))*TAN(RADIANS(T157))))</f>
        <v>43.4786764077419</v>
      </c>
      <c r="X157" s="7" t="n">
        <f aca="false">(720-4*$B$4-V157+$B$5*60)/1440</f>
        <v>0.499921939405479</v>
      </c>
      <c r="Y157" s="7" t="n">
        <f aca="false">X157-W157*4/1440</f>
        <v>0.379147838272862</v>
      </c>
      <c r="Z157" s="7" t="n">
        <f aca="false">X157+W157*4/1440</f>
        <v>0.620696040538095</v>
      </c>
      <c r="AA157" s="10" t="n">
        <f aca="false">8*W157</f>
        <v>347.829411261935</v>
      </c>
      <c r="AB157" s="0" t="n">
        <f aca="false">MOD(E157*1440+V157+4*$B$4-60*$B$5,1440)</f>
        <v>936.112407256109</v>
      </c>
      <c r="AC157" s="0" t="n">
        <f aca="false">IF(AB157/4&lt;0,AB157/4+180,AB157/4-180)</f>
        <v>54.0281018140273</v>
      </c>
      <c r="AD157" s="0" t="n">
        <f aca="false">DEGREES(ACOS(SIN(RADIANS($B$3))*SIN(RADIANS(T157))+COS(RADIANS($B$3))*COS(RADIANS(T157))*COS(RADIANS(AC157))))</f>
        <v>94.0448102330033</v>
      </c>
      <c r="AE157" s="0" t="n">
        <f aca="false">90-AD157</f>
        <v>-4.04481023300329</v>
      </c>
      <c r="AF157" s="0" t="n">
        <f aca="false">IF(AE157&gt;85,0,IF(AE157&gt;5,58.1/TAN(RADIANS(AE157))-0.07/POWER(TAN(RADIANS(AE157)),3)+0.000086/POWER(TAN(RADIANS(AE157)),5),IF(AE157&gt;-0.575,1735+AE157*(-518.2+AE157*(103.4+AE157*(-12.79+AE157*0.711))),-20.772/TAN(RADIANS(AE157)))))/3600</f>
        <v>0.0815977138931071</v>
      </c>
      <c r="AG157" s="0" t="n">
        <f aca="false">AE157+AF157</f>
        <v>-3.96321251911018</v>
      </c>
      <c r="AH157" s="0" t="n">
        <f aca="false">IF(AC157&gt;0,MOD(DEGREES(ACOS(((SIN(RADIANS($B$3))*COS(RADIANS(AD157)))-SIN(RADIANS(T157)))/(COS(RADIANS($B$3))*SIN(RADIANS(AD157)))))+180,360),MOD(540-DEGREES(ACOS(((SIN(RADIANS($B$3))*COS(RADIANS(AD157)))-SIN(RADIANS(T157)))/(COS(RADIANS($B$3))*SIN(RADIANS(AD157))))),360))</f>
        <v>229.680075355186</v>
      </c>
    </row>
    <row r="158" customFormat="false" ht="15" hidden="false" customHeight="false" outlineLevel="0" collapsed="false">
      <c r="D158" s="6" t="n">
        <f aca="false">$B$7</f>
        <v>44886</v>
      </c>
      <c r="E158" s="7" t="n">
        <f aca="false">E157+0.1/24</f>
        <v>0.654166666666666</v>
      </c>
      <c r="F158" s="8" t="n">
        <f aca="false">D158+2415018.5+E158-$B$5/24</f>
        <v>2459905.1125</v>
      </c>
      <c r="G158" s="9" t="n">
        <f aca="false">(F158-2451545)/36525</f>
        <v>0.228887405886387</v>
      </c>
      <c r="I158" s="0" t="n">
        <f aca="false">MOD(280.46646+G158*(36000.76983+G158*0.0003032),360)</f>
        <v>240.589292186078</v>
      </c>
      <c r="J158" s="0" t="n">
        <f aca="false">357.52911+G158*(35999.05029-0.0001537*G158)</f>
        <v>8597.25833719942</v>
      </c>
      <c r="K158" s="0" t="n">
        <f aca="false">0.016708634-G158*(0.000042037+0.0000001267*G158)</f>
        <v>0.0166990056223761</v>
      </c>
      <c r="L158" s="0" t="n">
        <f aca="false">SIN(RADIANS(J158))*(1.914602-G158*(0.004817+0.000014*G158))+SIN(RADIANS(2*J158))*(0.019993-0.000101*G158)+SIN(RADIANS(3*J158))*0.000289</f>
        <v>-1.31881477894386</v>
      </c>
      <c r="M158" s="0" t="n">
        <f aca="false">I158+L158</f>
        <v>239.270477407134</v>
      </c>
      <c r="N158" s="0" t="n">
        <f aca="false">J158+L158</f>
        <v>8595.93952242048</v>
      </c>
      <c r="O158" s="0" t="n">
        <f aca="false">(1.000001018*(1-K158*K158))/(1+K158*COS(RADIANS(N158)))</f>
        <v>0.987867739762473</v>
      </c>
      <c r="P158" s="0" t="n">
        <f aca="false">M158-0.00569-0.00478*SIN(RADIANS(125.04-1934.136*G158))</f>
        <v>239.261567901157</v>
      </c>
      <c r="Q158" s="0" t="n">
        <f aca="false">23+(26+((21.448-G158*(46.815+G158*(0.00059-G158*0.001813))))/60)/60</f>
        <v>23.43631461859</v>
      </c>
      <c r="R158" s="0" t="n">
        <f aca="false">Q158+0.00256*COS(RADIANS(125.04-1934.136*G158))</f>
        <v>23.4382068520035</v>
      </c>
      <c r="S158" s="0" t="n">
        <f aca="false">DEGREES(ATAN2(COS(RADIANS(P158)),COS(RADIANS(R158))*SIN(RADIANS(P158))))</f>
        <v>-122.948994194807</v>
      </c>
      <c r="T158" s="0" t="n">
        <f aca="false">DEGREES(ASIN(SIN(RADIANS(R158))*SIN(RADIANS(P158))))</f>
        <v>-19.9913559186722</v>
      </c>
      <c r="U158" s="0" t="n">
        <f aca="false">TAN(RADIANS(R158/2))*TAN(RADIANS(R158/2))</f>
        <v>0.0430304347203136</v>
      </c>
      <c r="V158" s="0" t="n">
        <f aca="false">4*DEGREES(U158*SIN(2*RADIANS(I158))-2*K158*SIN(RADIANS(J158))+4*K158*U158*SIN(RADIANS(J158))*COS(2*RADIANS(I158))-0.5*U158*U158*SIN(4*RADIANS(I158))-1.25*K158*K158*SIN(2*RADIANS(J158)))</f>
        <v>14.1313367483908</v>
      </c>
      <c r="W158" s="0" t="n">
        <f aca="false">DEGREES(ACOS(COS(RADIANS(90.833))/(COS(RADIANS($B$3))*COS(RADIANS(T158)))-TAN(RADIANS($B$3))*TAN(RADIANS(T158))))</f>
        <v>43.4755574737853</v>
      </c>
      <c r="X158" s="7" t="n">
        <f aca="false">(720-4*$B$4-V158+$B$5*60)/1440</f>
        <v>0.499922682813617</v>
      </c>
      <c r="Y158" s="7" t="n">
        <f aca="false">X158-W158*4/1440</f>
        <v>0.379157245386436</v>
      </c>
      <c r="Z158" s="7" t="n">
        <f aca="false">X158+W158*4/1440</f>
        <v>0.620688120240799</v>
      </c>
      <c r="AA158" s="10" t="n">
        <f aca="false">8*W158</f>
        <v>347.804459790282</v>
      </c>
      <c r="AB158" s="0" t="n">
        <f aca="false">MOD(E158*1440+V158+4*$B$4-60*$B$5,1440)</f>
        <v>942.111336748389</v>
      </c>
      <c r="AC158" s="0" t="n">
        <f aca="false">IF(AB158/4&lt;0,AB158/4+180,AB158/4-180)</f>
        <v>55.5278341870973</v>
      </c>
      <c r="AD158" s="0" t="n">
        <f aca="false">DEGREES(ACOS(SIN(RADIANS($B$3))*SIN(RADIANS(T158))+COS(RADIANS($B$3))*COS(RADIANS(T158))*COS(RADIANS(AC158))))</f>
        <v>94.5433302128486</v>
      </c>
      <c r="AE158" s="0" t="n">
        <f aca="false">90-AD158</f>
        <v>-4.54333021284859</v>
      </c>
      <c r="AF158" s="0" t="n">
        <f aca="false">IF(AE158&gt;85,0,IF(AE158&gt;5,58.1/TAN(RADIANS(AE158))-0.07/POWER(TAN(RADIANS(AE158)),3)+0.000086/POWER(TAN(RADIANS(AE158)),5),IF(AE158&gt;-0.575,1735+AE158*(-518.2+AE158*(103.4+AE158*(-12.79+AE158*0.711))),-20.772/TAN(RADIANS(AE158)))))/3600</f>
        <v>0.0726126928462668</v>
      </c>
      <c r="AG158" s="0" t="n">
        <f aca="false">AE158+AF158</f>
        <v>-4.47071752000232</v>
      </c>
      <c r="AH158" s="0" t="n">
        <f aca="false">IF(AC158&gt;0,MOD(DEGREES(ACOS(((SIN(RADIANS($B$3))*COS(RADIANS(AD158)))-SIN(RADIANS(T158)))/(COS(RADIANS($B$3))*SIN(RADIANS(AD158)))))+180,360),MOD(540-DEGREES(ACOS(((SIN(RADIANS($B$3))*COS(RADIANS(AD158)))-SIN(RADIANS(T158)))/(COS(RADIANS($B$3))*SIN(RADIANS(AD158))))),360))</f>
        <v>231.002041793622</v>
      </c>
    </row>
    <row r="159" customFormat="false" ht="15" hidden="false" customHeight="false" outlineLevel="0" collapsed="false">
      <c r="D159" s="6" t="n">
        <f aca="false">$B$7</f>
        <v>44886</v>
      </c>
      <c r="E159" s="7" t="n">
        <f aca="false">E158+0.1/24</f>
        <v>0.658333333333332</v>
      </c>
      <c r="F159" s="8" t="n">
        <f aca="false">D159+2415018.5+E159-$B$5/24</f>
        <v>2459905.11666667</v>
      </c>
      <c r="G159" s="9" t="n">
        <f aca="false">(F159-2451545)/36525</f>
        <v>0.228887519963496</v>
      </c>
      <c r="I159" s="0" t="n">
        <f aca="false">MOD(280.46646+G159*(36000.76983+G159*0.0003032),360)</f>
        <v>240.593399049851</v>
      </c>
      <c r="J159" s="0" t="n">
        <f aca="false">357.52911+G159*(35999.05029-0.0001537*G159)</f>
        <v>8597.26244386701</v>
      </c>
      <c r="K159" s="0" t="n">
        <f aca="false">0.016708634-G159*(0.000042037+0.0000001267*G159)</f>
        <v>0.0166990056175741</v>
      </c>
      <c r="L159" s="0" t="n">
        <f aca="false">SIN(RADIANS(J159))*(1.914602-G159*(0.004817+0.000014*G159))+SIN(RADIANS(2*J159))*(0.019993-0.000101*G159)+SIN(RADIANS(3*J159))*0.000289</f>
        <v>-1.31871386231907</v>
      </c>
      <c r="M159" s="0" t="n">
        <f aca="false">I159+L159</f>
        <v>239.274685187532</v>
      </c>
      <c r="N159" s="0" t="n">
        <f aca="false">J159+L159</f>
        <v>8595.94373000469</v>
      </c>
      <c r="O159" s="0" t="n">
        <f aca="false">(1.000001018*(1-K159*K159))/(1+K159*COS(RADIANS(N159)))</f>
        <v>0.987866907336027</v>
      </c>
      <c r="P159" s="0" t="n">
        <f aca="false">M159-0.00569-0.00478*SIN(RADIANS(125.04-1934.136*G159))</f>
        <v>239.26577569516</v>
      </c>
      <c r="Q159" s="0" t="n">
        <f aca="false">23+(26+((21.448-G159*(46.815+G159*(0.00059-G159*0.001813))))/60)/60</f>
        <v>23.4363146171065</v>
      </c>
      <c r="R159" s="0" t="n">
        <f aca="false">Q159+0.00256*COS(RADIANS(125.04-1934.136*G159))</f>
        <v>23.43820685716</v>
      </c>
      <c r="S159" s="0" t="n">
        <f aca="false">DEGREES(ATAN2(COS(RADIANS(P159)),COS(RADIANS(R159))*SIN(RADIANS(P159))))</f>
        <v>-122.94462261202</v>
      </c>
      <c r="T159" s="0" t="n">
        <f aca="false">DEGREES(ASIN(SIN(RADIANS(R159))*SIN(RADIANS(P159))))</f>
        <v>-19.9922661770789</v>
      </c>
      <c r="U159" s="0" t="n">
        <f aca="false">TAN(RADIANS(R159/2))*TAN(RADIANS(R159/2))</f>
        <v>0.0430304347397857</v>
      </c>
      <c r="V159" s="0" t="n">
        <f aca="false">4*DEGREES(U159*SIN(2*RADIANS(I159))-2*K159*SIN(RADIANS(J159))+4*K159*U159*SIN(RADIANS(J159))*COS(2*RADIANS(I159))-0.5*U159*U159*SIN(4*RADIANS(I159))-1.25*K159*K159*SIN(2*RADIANS(J159)))</f>
        <v>14.1302660091647</v>
      </c>
      <c r="W159" s="0" t="n">
        <f aca="false">DEGREES(ACOS(COS(RADIANS(90.833))/(COS(RADIANS($B$3))*COS(RADIANS(T159)))-TAN(RADIANS($B$3))*TAN(RADIANS(T159))))</f>
        <v>43.4724386877058</v>
      </c>
      <c r="X159" s="7" t="n">
        <f aca="false">(720-4*$B$4-V159+$B$5*60)/1440</f>
        <v>0.499923426382525</v>
      </c>
      <c r="Y159" s="7" t="n">
        <f aca="false">X159-W159*4/1440</f>
        <v>0.379166652250008</v>
      </c>
      <c r="Z159" s="7" t="n">
        <f aca="false">X159+W159*4/1440</f>
        <v>0.620680200515041</v>
      </c>
      <c r="AA159" s="10" t="n">
        <f aca="false">8*W159</f>
        <v>347.779509501646</v>
      </c>
      <c r="AB159" s="0" t="n">
        <f aca="false">MOD(E159*1440+V159+4*$B$4-60*$B$5,1440)</f>
        <v>948.110266009163</v>
      </c>
      <c r="AC159" s="0" t="n">
        <f aca="false">IF(AB159/4&lt;0,AB159/4+180,AB159/4-180)</f>
        <v>57.0275665022908</v>
      </c>
      <c r="AD159" s="0" t="n">
        <f aca="false">DEGREES(ACOS(SIN(RADIANS($B$3))*SIN(RADIANS(T159))+COS(RADIANS($B$3))*COS(RADIANS(T159))*COS(RADIANS(AC159))))</f>
        <v>95.0512240504856</v>
      </c>
      <c r="AE159" s="0" t="n">
        <f aca="false">90-AD159</f>
        <v>-5.05122405048556</v>
      </c>
      <c r="AF159" s="0" t="n">
        <f aca="false">IF(AE159&gt;85,0,IF(AE159&gt;5,58.1/TAN(RADIANS(AE159))-0.07/POWER(TAN(RADIANS(AE159)),3)+0.000086/POWER(TAN(RADIANS(AE159)),5),IF(AE159&gt;-0.575,1735+AE159*(-518.2+AE159*(103.4+AE159*(-12.79+AE159*0.711))),-20.772/TAN(RADIANS(AE159)))))/3600</f>
        <v>0.0652791689032276</v>
      </c>
      <c r="AG159" s="0" t="n">
        <f aca="false">AE159+AF159</f>
        <v>-4.98594488158233</v>
      </c>
      <c r="AH159" s="0" t="n">
        <f aca="false">IF(AC159&gt;0,MOD(DEGREES(ACOS(((SIN(RADIANS($B$3))*COS(RADIANS(AD159)))-SIN(RADIANS(T159)))/(COS(RADIANS($B$3))*SIN(RADIANS(AD159)))))+180,360),MOD(540-DEGREES(ACOS(((SIN(RADIANS($B$3))*COS(RADIANS(AD159)))-SIN(RADIANS(T159)))/(COS(RADIANS($B$3))*SIN(RADIANS(AD159))))),360))</f>
        <v>232.321327326116</v>
      </c>
    </row>
    <row r="160" customFormat="false" ht="15" hidden="false" customHeight="false" outlineLevel="0" collapsed="false">
      <c r="D160" s="6" t="n">
        <f aca="false">$B$7</f>
        <v>44886</v>
      </c>
      <c r="E160" s="7" t="n">
        <f aca="false">E159+0.1/24</f>
        <v>0.662499999999999</v>
      </c>
      <c r="F160" s="8" t="n">
        <f aca="false">D160+2415018.5+E160-$B$5/24</f>
        <v>2459905.12083333</v>
      </c>
      <c r="G160" s="9" t="n">
        <f aca="false">(F160-2451545)/36525</f>
        <v>0.228887634040618</v>
      </c>
      <c r="I160" s="0" t="n">
        <f aca="false">MOD(280.46646+G160*(36000.76983+G160*0.0003032),360)</f>
        <v>240.597505914082</v>
      </c>
      <c r="J160" s="0" t="n">
        <f aca="false">357.52911+G160*(35999.05029-0.0001537*G160)</f>
        <v>8597.26655053506</v>
      </c>
      <c r="K160" s="0" t="n">
        <f aca="false">0.016708634-G160*(0.000042037+0.0000001267*G160)</f>
        <v>0.016699005612772</v>
      </c>
      <c r="L160" s="0" t="n">
        <f aca="false">SIN(RADIANS(J160))*(1.914602-G160*(0.004817+0.000014*G160))+SIN(RADIANS(2*J160))*(0.019993-0.000101*G160)+SIN(RADIANS(3*J160))*0.000289</f>
        <v>-1.31861293859233</v>
      </c>
      <c r="M160" s="0" t="n">
        <f aca="false">I160+L160</f>
        <v>239.27889297549</v>
      </c>
      <c r="N160" s="0" t="n">
        <f aca="false">J160+L160</f>
        <v>8595.94793759647</v>
      </c>
      <c r="O160" s="0" t="n">
        <f aca="false">(1.000001018*(1-K160*K160))/(1+K160*COS(RADIANS(N160)))</f>
        <v>0.987866074972664</v>
      </c>
      <c r="P160" s="0" t="n">
        <f aca="false">M160-0.00569-0.00478*SIN(RADIANS(125.04-1934.136*G160))</f>
        <v>239.269983496724</v>
      </c>
      <c r="Q160" s="0" t="n">
        <f aca="false">23+(26+((21.448-G160*(46.815+G160*(0.00059-G160*0.001813))))/60)/60</f>
        <v>23.436314615623</v>
      </c>
      <c r="R160" s="0" t="n">
        <f aca="false">Q160+0.00256*COS(RADIANS(125.04-1934.136*G160))</f>
        <v>23.4382068623164</v>
      </c>
      <c r="S160" s="0" t="n">
        <f aca="false">DEGREES(ATAN2(COS(RADIANS(P160)),COS(RADIANS(R160))*SIN(RADIANS(P160))))</f>
        <v>-122.940250970847</v>
      </c>
      <c r="T160" s="0" t="n">
        <f aca="false">DEGREES(ASIN(SIN(RADIANS(R160))*SIN(RADIANS(P160))))</f>
        <v>-19.993176329955</v>
      </c>
      <c r="U160" s="0" t="n">
        <f aca="false">TAN(RADIANS(R160/2))*TAN(RADIANS(R160/2))</f>
        <v>0.0430304347592577</v>
      </c>
      <c r="V160" s="0" t="n">
        <f aca="false">4*DEGREES(U160*SIN(2*RADIANS(I160))-2*K160*SIN(RADIANS(J160))+4*K160*U160*SIN(RADIANS(J160))*COS(2*RADIANS(I160))-0.5*U160*U160*SIN(4*RADIANS(I160))-1.25*K160*K160*SIN(2*RADIANS(J160)))</f>
        <v>14.1291950382081</v>
      </c>
      <c r="W160" s="0" t="n">
        <f aca="false">DEGREES(ACOS(COS(RADIANS(90.833))/(COS(RADIANS($B$3))*COS(RADIANS(T160)))-TAN(RADIANS($B$3))*TAN(RADIANS(T160))))</f>
        <v>43.4693200488595</v>
      </c>
      <c r="X160" s="7" t="n">
        <f aca="false">(720-4*$B$4-V160+$B$5*60)/1440</f>
        <v>0.499924170112355</v>
      </c>
      <c r="Y160" s="7" t="n">
        <f aca="false">X160-W160*4/1440</f>
        <v>0.379176058865524</v>
      </c>
      <c r="Z160" s="7" t="n">
        <f aca="false">X160+W160*4/1440</f>
        <v>0.620672281359187</v>
      </c>
      <c r="AA160" s="10" t="n">
        <f aca="false">8*W160</f>
        <v>347.754560390876</v>
      </c>
      <c r="AB160" s="0" t="n">
        <f aca="false">MOD(E160*1440+V160+4*$B$4-60*$B$5,1440)</f>
        <v>954.109195038207</v>
      </c>
      <c r="AC160" s="0" t="n">
        <f aca="false">IF(AB160/4&lt;0,AB160/4+180,AB160/4-180)</f>
        <v>58.5272987595516</v>
      </c>
      <c r="AD160" s="0" t="n">
        <f aca="false">DEGREES(ACOS(SIN(RADIANS($B$3))*SIN(RADIANS(T160))+COS(RADIANS($B$3))*COS(RADIANS(T160))*COS(RADIANS(AC160))))</f>
        <v>95.5682047135339</v>
      </c>
      <c r="AE160" s="0" t="n">
        <f aca="false">90-AD160</f>
        <v>-5.56820471353392</v>
      </c>
      <c r="AF160" s="0" t="n">
        <f aca="false">IF(AE160&gt;85,0,IF(AE160&gt;5,58.1/TAN(RADIANS(AE160))-0.07/POWER(TAN(RADIANS(AE160)),3)+0.000086/POWER(TAN(RADIANS(AE160)),5),IF(AE160&gt;-0.575,1735+AE160*(-518.2+AE160*(103.4+AE160*(-12.79+AE160*0.711))),-20.772/TAN(RADIANS(AE160)))))/3600</f>
        <v>0.0591851809949999</v>
      </c>
      <c r="AG160" s="0" t="n">
        <f aca="false">AE160+AF160</f>
        <v>-5.50901953253892</v>
      </c>
      <c r="AH160" s="0" t="n">
        <f aca="false">IF(AC160&gt;0,MOD(DEGREES(ACOS(((SIN(RADIANS($B$3))*COS(RADIANS(AD160)))-SIN(RADIANS(T160)))/(COS(RADIANS($B$3))*SIN(RADIANS(AD160)))))+180,360),MOD(540-DEGREES(ACOS(((SIN(RADIANS($B$3))*COS(RADIANS(AD160)))-SIN(RADIANS(T160)))/(COS(RADIANS($B$3))*SIN(RADIANS(AD160))))),360))</f>
        <v>233.638086050205</v>
      </c>
    </row>
    <row r="161" customFormat="false" ht="15" hidden="false" customHeight="false" outlineLevel="0" collapsed="false">
      <c r="D161" s="6" t="n">
        <f aca="false">$B$7</f>
        <v>44886</v>
      </c>
      <c r="E161" s="7" t="n">
        <f aca="false">E160+0.1/24</f>
        <v>0.666666666666666</v>
      </c>
      <c r="F161" s="8" t="n">
        <f aca="false">D161+2415018.5+E161-$B$5/24</f>
        <v>2459905.125</v>
      </c>
      <c r="G161" s="9" t="n">
        <f aca="false">(F161-2451545)/36525</f>
        <v>0.228887748117728</v>
      </c>
      <c r="I161" s="0" t="n">
        <f aca="false">MOD(280.46646+G161*(36000.76983+G161*0.0003032),360)</f>
        <v>240.601612777853</v>
      </c>
      <c r="J161" s="0" t="n">
        <f aca="false">357.52911+G161*(35999.05029-0.0001537*G161)</f>
        <v>8597.27065720265</v>
      </c>
      <c r="K161" s="0" t="n">
        <f aca="false">0.016708634-G161*(0.000042037+0.0000001267*G161)</f>
        <v>0.0166990056079699</v>
      </c>
      <c r="L161" s="0" t="n">
        <f aca="false">SIN(RADIANS(J161))*(1.914602-G161*(0.004817+0.000014*G161))+SIN(RADIANS(2*J161))*(0.019993-0.000101*G161)+SIN(RADIANS(3*J161))*0.000289</f>
        <v>-1.31851200778673</v>
      </c>
      <c r="M161" s="0" t="n">
        <f aca="false">I161+L161</f>
        <v>239.283100770066</v>
      </c>
      <c r="N161" s="0" t="n">
        <f aca="false">J161+L161</f>
        <v>8595.95214519486</v>
      </c>
      <c r="O161" s="0" t="n">
        <f aca="false">(1.000001018*(1-K161*K161))/(1+K161*COS(RADIANS(N161)))</f>
        <v>0.987865242672575</v>
      </c>
      <c r="P161" s="0" t="n">
        <f aca="false">M161-0.00569-0.00478*SIN(RADIANS(125.04-1934.136*G161))</f>
        <v>239.274191304907</v>
      </c>
      <c r="Q161" s="0" t="n">
        <f aca="false">23+(26+((21.448-G161*(46.815+G161*(0.00059-G161*0.001813))))/60)/60</f>
        <v>23.4363146141395</v>
      </c>
      <c r="R161" s="0" t="n">
        <f aca="false">Q161+0.00256*COS(RADIANS(125.04-1934.136*G161))</f>
        <v>23.4382068674728</v>
      </c>
      <c r="S161" s="0" t="n">
        <f aca="false">DEGREES(ATAN2(COS(RADIANS(P161)),COS(RADIANS(R161))*SIN(RADIANS(P161))))</f>
        <v>-122.935879272267</v>
      </c>
      <c r="T161" s="0" t="n">
        <f aca="false">DEGREES(ASIN(SIN(RADIANS(R161))*SIN(RADIANS(P161))))</f>
        <v>-19.9940863770899</v>
      </c>
      <c r="U161" s="0" t="n">
        <f aca="false">TAN(RADIANS(R161/2))*TAN(RADIANS(R161/2))</f>
        <v>0.0430304347787296</v>
      </c>
      <c r="V161" s="0" t="n">
        <f aca="false">4*DEGREES(U161*SIN(2*RADIANS(I161))-2*K161*SIN(RADIANS(J161))+4*K161*U161*SIN(RADIANS(J161))*COS(2*RADIANS(I161))-0.5*U161*U161*SIN(4*RADIANS(I161))-1.25*K161*K161*SIN(2*RADIANS(J161)))</f>
        <v>14.1281238357748</v>
      </c>
      <c r="W161" s="0" t="n">
        <f aca="false">DEGREES(ACOS(COS(RADIANS(90.833))/(COS(RADIANS($B$3))*COS(RADIANS(T161)))-TAN(RADIANS($B$3))*TAN(RADIANS(T161))))</f>
        <v>43.4662015579947</v>
      </c>
      <c r="X161" s="7" t="n">
        <f aca="false">(720-4*$B$4-V161+$B$5*60)/1440</f>
        <v>0.499924914002934</v>
      </c>
      <c r="Y161" s="7" t="n">
        <f aca="false">X161-W161*4/1440</f>
        <v>0.379185465230727</v>
      </c>
      <c r="Z161" s="7" t="n">
        <f aca="false">X161+W161*4/1440</f>
        <v>0.620664362775142</v>
      </c>
      <c r="AA161" s="10" t="n">
        <f aca="false">8*W161</f>
        <v>347.729612463958</v>
      </c>
      <c r="AB161" s="0" t="n">
        <f aca="false">MOD(E161*1440+V161+4*$B$4-60*$B$5,1440)</f>
        <v>960.108123835773</v>
      </c>
      <c r="AC161" s="0" t="n">
        <f aca="false">IF(AB161/4&lt;0,AB161/4+180,AB161/4-180)</f>
        <v>60.0270309589433</v>
      </c>
      <c r="AD161" s="0" t="n">
        <f aca="false">DEGREES(ACOS(SIN(RADIANS($B$3))*SIN(RADIANS(T161))+COS(RADIANS($B$3))*COS(RADIANS(T161))*COS(RADIANS(AC161))))</f>
        <v>96.0939830224183</v>
      </c>
      <c r="AE161" s="0" t="n">
        <f aca="false">90-AD161</f>
        <v>-6.09398302241827</v>
      </c>
      <c r="AF161" s="0" t="n">
        <f aca="false">IF(AE161&gt;85,0,IF(AE161&gt;5,58.1/TAN(RADIANS(AE161))-0.07/POWER(TAN(RADIANS(AE161)),3)+0.000086/POWER(TAN(RADIANS(AE161)),5),IF(AE161&gt;-0.575,1735+AE161*(-518.2+AE161*(103.4+AE161*(-12.79+AE161*0.711))),-20.772/TAN(RADIANS(AE161)))))/3600</f>
        <v>0.0540449627938633</v>
      </c>
      <c r="AG161" s="0" t="n">
        <f aca="false">AE161+AF161</f>
        <v>-6.03993805962441</v>
      </c>
      <c r="AH161" s="0" t="n">
        <f aca="false">IF(AC161&gt;0,MOD(DEGREES(ACOS(((SIN(RADIANS($B$3))*COS(RADIANS(AD161)))-SIN(RADIANS(T161)))/(COS(RADIANS($B$3))*SIN(RADIANS(AD161)))))+180,360),MOD(540-DEGREES(ACOS(((SIN(RADIANS($B$3))*COS(RADIANS(AD161)))-SIN(RADIANS(T161)))/(COS(RADIANS($B$3))*SIN(RADIANS(AD161))))),360))</f>
        <v>234.952483842103</v>
      </c>
    </row>
    <row r="162" customFormat="false" ht="15" hidden="false" customHeight="false" outlineLevel="0" collapsed="false">
      <c r="D162" s="6" t="n">
        <f aca="false">$B$7</f>
        <v>44886</v>
      </c>
      <c r="E162" s="7" t="n">
        <f aca="false">E161+0.1/24</f>
        <v>0.670833333333332</v>
      </c>
      <c r="F162" s="8" t="n">
        <f aca="false">D162+2415018.5+E162-$B$5/24</f>
        <v>2459905.12916667</v>
      </c>
      <c r="G162" s="9" t="n">
        <f aca="false">(F162-2451545)/36525</f>
        <v>0.22888786219485</v>
      </c>
      <c r="I162" s="0" t="n">
        <f aca="false">MOD(280.46646+G162*(36000.76983+G162*0.0003032),360)</f>
        <v>240.605719642082</v>
      </c>
      <c r="J162" s="0" t="n">
        <f aca="false">357.52911+G162*(35999.05029-0.0001537*G162)</f>
        <v>8597.27476387069</v>
      </c>
      <c r="K162" s="0" t="n">
        <f aca="false">0.016708634-G162*(0.000042037+0.0000001267*G162)</f>
        <v>0.0166990056031678</v>
      </c>
      <c r="L162" s="0" t="n">
        <f aca="false">SIN(RADIANS(J162))*(1.914602-G162*(0.004817+0.000014*G162))+SIN(RADIANS(2*J162))*(0.019993-0.000101*G162)+SIN(RADIANS(3*J162))*0.000289</f>
        <v>-1.31841106988015</v>
      </c>
      <c r="M162" s="0" t="n">
        <f aca="false">I162+L162</f>
        <v>239.287308572202</v>
      </c>
      <c r="N162" s="0" t="n">
        <f aca="false">J162+L162</f>
        <v>8595.95635280081</v>
      </c>
      <c r="O162" s="0" t="n">
        <f aca="false">(1.000001018*(1-K162*K162))/(1+K162*COS(RADIANS(N162)))</f>
        <v>0.987864410435579</v>
      </c>
      <c r="P162" s="0" t="n">
        <f aca="false">M162-0.00569-0.00478*SIN(RADIANS(125.04-1934.136*G162))</f>
        <v>239.278399120649</v>
      </c>
      <c r="Q162" s="0" t="n">
        <f aca="false">23+(26+((21.448-G162*(46.815+G162*(0.00059-G162*0.001813))))/60)/60</f>
        <v>23.4363146126561</v>
      </c>
      <c r="R162" s="0" t="n">
        <f aca="false">Q162+0.00256*COS(RADIANS(125.04-1934.136*G162))</f>
        <v>23.4382068726292</v>
      </c>
      <c r="S162" s="0" t="n">
        <f aca="false">DEGREES(ATAN2(COS(RADIANS(P162)),COS(RADIANS(R162))*SIN(RADIANS(P162))))</f>
        <v>-122.931507515306</v>
      </c>
      <c r="T162" s="0" t="n">
        <f aca="false">DEGREES(ASIN(SIN(RADIANS(R162))*SIN(RADIANS(P162))))</f>
        <v>-19.9949963186798</v>
      </c>
      <c r="U162" s="0" t="n">
        <f aca="false">TAN(RADIANS(R162/2))*TAN(RADIANS(R162/2))</f>
        <v>0.0430304347982014</v>
      </c>
      <c r="V162" s="0" t="n">
        <f aca="false">4*DEGREES(U162*SIN(2*RADIANS(I162))-2*K162*SIN(RADIANS(J162))+4*K162*U162*SIN(RADIANS(J162))*COS(2*RADIANS(I162))-0.5*U162*U162*SIN(4*RADIANS(I162))-1.25*K162*K162*SIN(2*RADIANS(J162)))</f>
        <v>14.1270524016387</v>
      </c>
      <c r="W162" s="0" t="n">
        <f aca="false">DEGREES(ACOS(COS(RADIANS(90.833))/(COS(RADIANS($B$3))*COS(RADIANS(T162)))-TAN(RADIANS($B$3))*TAN(RADIANS(T162))))</f>
        <v>43.463083214465</v>
      </c>
      <c r="X162" s="7" t="n">
        <f aca="false">(720-4*$B$4-V162+$B$5*60)/1440</f>
        <v>0.499925658054418</v>
      </c>
      <c r="Y162" s="7" t="n">
        <f aca="false">X162-W162*4/1440</f>
        <v>0.37919487134757</v>
      </c>
      <c r="Z162" s="7" t="n">
        <f aca="false">X162+W162*4/1440</f>
        <v>0.620656444761265</v>
      </c>
      <c r="AA162" s="10" t="n">
        <f aca="false">8*W162</f>
        <v>347.70466571572</v>
      </c>
      <c r="AB162" s="0" t="n">
        <f aca="false">MOD(E162*1440+V162+4*$B$4-60*$B$5,1440)</f>
        <v>966.107052401637</v>
      </c>
      <c r="AC162" s="0" t="n">
        <f aca="false">IF(AB162/4&lt;0,AB162/4+180,AB162/4-180)</f>
        <v>61.5267631004093</v>
      </c>
      <c r="AD162" s="0" t="n">
        <f aca="false">DEGREES(ACOS(SIN(RADIANS($B$3))*SIN(RADIANS(T162))+COS(RADIANS($B$3))*COS(RADIANS(T162))*COS(RADIANS(AC162))))</f>
        <v>96.6282677867765</v>
      </c>
      <c r="AE162" s="0" t="n">
        <f aca="false">90-AD162</f>
        <v>-6.62826778677649</v>
      </c>
      <c r="AF162" s="0" t="n">
        <f aca="false">IF(AE162&gt;85,0,IF(AE162&gt;5,58.1/TAN(RADIANS(AE162))-0.07/POWER(TAN(RADIANS(AE162)),3)+0.000086/POWER(TAN(RADIANS(AE162)),5),IF(AE162&gt;-0.575,1735+AE162*(-518.2+AE162*(103.4+AE162*(-12.79+AE162*0.711))),-20.772/TAN(RADIANS(AE162)))))/3600</f>
        <v>0.0496540792638959</v>
      </c>
      <c r="AG162" s="0" t="n">
        <f aca="false">AE162+AF162</f>
        <v>-6.57861370751259</v>
      </c>
      <c r="AH162" s="0" t="n">
        <f aca="false">IF(AC162&gt;0,MOD(DEGREES(ACOS(((SIN(RADIANS($B$3))*COS(RADIANS(AD162)))-SIN(RADIANS(T162)))/(COS(RADIANS($B$3))*SIN(RADIANS(AD162)))))+180,360),MOD(540-DEGREES(ACOS(((SIN(RADIANS($B$3))*COS(RADIANS(AD162)))-SIN(RADIANS(T162)))/(COS(RADIANS($B$3))*SIN(RADIANS(AD162))))),360))</f>
        <v>236.264698172264</v>
      </c>
    </row>
    <row r="163" customFormat="false" ht="15" hidden="false" customHeight="false" outlineLevel="0" collapsed="false">
      <c r="D163" s="6" t="n">
        <f aca="false">$B$7</f>
        <v>44886</v>
      </c>
      <c r="E163" s="7" t="n">
        <f aca="false">E162+0.1/24</f>
        <v>0.674999999999999</v>
      </c>
      <c r="F163" s="8" t="n">
        <f aca="false">D163+2415018.5+E163-$B$5/24</f>
        <v>2459905.13333333</v>
      </c>
      <c r="G163" s="9" t="n">
        <f aca="false">(F163-2451545)/36525</f>
        <v>0.228887976271959</v>
      </c>
      <c r="I163" s="0" t="n">
        <f aca="false">MOD(280.46646+G163*(36000.76983+G163*0.0003032),360)</f>
        <v>240.609826505855</v>
      </c>
      <c r="J163" s="0" t="n">
        <f aca="false">357.52911+G163*(35999.05029-0.0001537*G163)</f>
        <v>8597.27887053828</v>
      </c>
      <c r="K163" s="0" t="n">
        <f aca="false">0.016708634-G163*(0.000042037+0.0000001267*G163)</f>
        <v>0.0166990055983657</v>
      </c>
      <c r="L163" s="0" t="n">
        <f aca="false">SIN(RADIANS(J163))*(1.914602-G163*(0.004817+0.000014*G163))+SIN(RADIANS(2*J163))*(0.019993-0.000101*G163)+SIN(RADIANS(3*J163))*0.000289</f>
        <v>-1.31831012489576</v>
      </c>
      <c r="M163" s="0" t="n">
        <f aca="false">I163+L163</f>
        <v>239.29151638096</v>
      </c>
      <c r="N163" s="0" t="n">
        <f aca="false">J163+L163</f>
        <v>8595.96056041338</v>
      </c>
      <c r="O163" s="0" t="n">
        <f aca="false">(1.000001018*(1-K163*K163))/(1+K163*COS(RADIANS(N163)))</f>
        <v>0.987863578261866</v>
      </c>
      <c r="P163" s="0" t="n">
        <f aca="false">M163-0.00569-0.00478*SIN(RADIANS(125.04-1934.136*G163))</f>
        <v>239.282606943012</v>
      </c>
      <c r="Q163" s="0" t="n">
        <f aca="false">23+(26+((21.448-G163*(46.815+G163*(0.00059-G163*0.001813))))/60)/60</f>
        <v>23.4363146111726</v>
      </c>
      <c r="R163" s="0" t="n">
        <f aca="false">Q163+0.00256*COS(RADIANS(125.04-1934.136*G163))</f>
        <v>23.4382068777855</v>
      </c>
      <c r="S163" s="0" t="n">
        <f aca="false">DEGREES(ATAN2(COS(RADIANS(P163)),COS(RADIANS(R163))*SIN(RADIANS(P163))))</f>
        <v>-122.927135700942</v>
      </c>
      <c r="T163" s="0" t="n">
        <f aca="false">DEGREES(ASIN(SIN(RADIANS(R163))*SIN(RADIANS(P163))))</f>
        <v>-19.9959061545148</v>
      </c>
      <c r="U163" s="0" t="n">
        <f aca="false">TAN(RADIANS(R163/2))*TAN(RADIANS(R163/2))</f>
        <v>0.0430304348176731</v>
      </c>
      <c r="V163" s="0" t="n">
        <f aca="false">4*DEGREES(U163*SIN(2*RADIANS(I163))-2*K163*SIN(RADIANS(J163))+4*K163*U163*SIN(RADIANS(J163))*COS(2*RADIANS(I163))-0.5*U163*U163*SIN(4*RADIANS(I163))-1.25*K163*K163*SIN(2*RADIANS(J163)))</f>
        <v>14.1259807360534</v>
      </c>
      <c r="W163" s="0" t="n">
        <f aca="false">DEGREES(ACOS(COS(RADIANS(90.833))/(COS(RADIANS($B$3))*COS(RADIANS(T163)))-TAN(RADIANS($B$3))*TAN(RADIANS(T163))))</f>
        <v>43.4599650190162</v>
      </c>
      <c r="X163" s="7" t="n">
        <f aca="false">(720-4*$B$4-V163+$B$5*60)/1440</f>
        <v>0.49992640226663</v>
      </c>
      <c r="Y163" s="7" t="n">
        <f aca="false">X163-W163*4/1440</f>
        <v>0.379204277213807</v>
      </c>
      <c r="Z163" s="7" t="n">
        <f aca="false">X163+W163*4/1440</f>
        <v>0.620648527319452</v>
      </c>
      <c r="AA163" s="10" t="n">
        <f aca="false">8*W163</f>
        <v>347.679720152129</v>
      </c>
      <c r="AB163" s="0" t="n">
        <f aca="false">MOD(E163*1440+V163+4*$B$4-60*$B$5,1440)</f>
        <v>972.105980736052</v>
      </c>
      <c r="AC163" s="0" t="n">
        <f aca="false">IF(AB163/4&lt;0,AB163/4+180,AB163/4-180)</f>
        <v>63.0264951840129</v>
      </c>
      <c r="AD163" s="0" t="n">
        <f aca="false">DEGREES(ACOS(SIN(RADIANS($B$3))*SIN(RADIANS(T163))+COS(RADIANS($B$3))*COS(RADIANS(T163))*COS(RADIANS(AC163))))</f>
        <v>97.1707659214171</v>
      </c>
      <c r="AE163" s="0" t="n">
        <f aca="false">90-AD163</f>
        <v>-7.17076592141711</v>
      </c>
      <c r="AF163" s="0" t="n">
        <f aca="false">IF(AE163&gt;85,0,IF(AE163&gt;5,58.1/TAN(RADIANS(AE163))-0.07/POWER(TAN(RADIANS(AE163)),3)+0.000086/POWER(TAN(RADIANS(AE163)),5),IF(AE163&gt;-0.575,1735+AE163*(-518.2+AE163*(103.4+AE163*(-12.79+AE163*0.711))),-20.772/TAN(RADIANS(AE163)))))/3600</f>
        <v>0.0458624305882019</v>
      </c>
      <c r="AG163" s="0" t="n">
        <f aca="false">AE163+AF163</f>
        <v>-7.12490349082891</v>
      </c>
      <c r="AH163" s="0" t="n">
        <f aca="false">IF(AC163&gt;0,MOD(DEGREES(ACOS(((SIN(RADIANS($B$3))*COS(RADIANS(AD163)))-SIN(RADIANS(T163)))/(COS(RADIANS($B$3))*SIN(RADIANS(AD163)))))+180,360),MOD(540-DEGREES(ACOS(((SIN(RADIANS($B$3))*COS(RADIANS(AD163)))-SIN(RADIANS(T163)))/(COS(RADIANS($B$3))*SIN(RADIANS(AD163))))),360))</f>
        <v>237.574917921555</v>
      </c>
    </row>
    <row r="164" customFormat="false" ht="15" hidden="false" customHeight="false" outlineLevel="0" collapsed="false">
      <c r="D164" s="6" t="n">
        <f aca="false">$B$7</f>
        <v>44886</v>
      </c>
      <c r="E164" s="7" t="n">
        <f aca="false">E163+0.1/24</f>
        <v>0.679166666666666</v>
      </c>
      <c r="F164" s="8" t="n">
        <f aca="false">D164+2415018.5+E164-$B$5/24</f>
        <v>2459905.1375</v>
      </c>
      <c r="G164" s="9" t="n">
        <f aca="false">(F164-2451545)/36525</f>
        <v>0.228888090349081</v>
      </c>
      <c r="I164" s="0" t="n">
        <f aca="false">MOD(280.46646+G164*(36000.76983+G164*0.0003032),360)</f>
        <v>240.613933370087</v>
      </c>
      <c r="J164" s="0" t="n">
        <f aca="false">357.52911+G164*(35999.05029-0.0001537*G164)</f>
        <v>8597.28297720633</v>
      </c>
      <c r="K164" s="0" t="n">
        <f aca="false">0.016708634-G164*(0.000042037+0.0000001267*G164)</f>
        <v>0.0166990055935637</v>
      </c>
      <c r="L164" s="0" t="n">
        <f aca="false">SIN(RADIANS(J164))*(1.914602-G164*(0.004817+0.000014*G164))+SIN(RADIANS(2*J164))*(0.019993-0.000101*G164)+SIN(RADIANS(3*J164))*0.000289</f>
        <v>-1.31820917281142</v>
      </c>
      <c r="M164" s="0" t="n">
        <f aca="false">I164+L164</f>
        <v>239.295724197275</v>
      </c>
      <c r="N164" s="0" t="n">
        <f aca="false">J164+L164</f>
        <v>8595.96476803352</v>
      </c>
      <c r="O164" s="0" t="n">
        <f aca="false">(1.000001018*(1-K164*K164))/(1+K164*COS(RADIANS(N164)))</f>
        <v>0.987862746151254</v>
      </c>
      <c r="P164" s="0" t="n">
        <f aca="false">M164-0.00569-0.00478*SIN(RADIANS(125.04-1934.136*G164))</f>
        <v>239.286814772934</v>
      </c>
      <c r="Q164" s="0" t="n">
        <f aca="false">23+(26+((21.448-G164*(46.815+G164*(0.00059-G164*0.001813))))/60)/60</f>
        <v>23.4363146096891</v>
      </c>
      <c r="R164" s="0" t="n">
        <f aca="false">Q164+0.00256*COS(RADIANS(125.04-1934.136*G164))</f>
        <v>23.4382068829418</v>
      </c>
      <c r="S164" s="0" t="n">
        <f aca="false">DEGREES(ATAN2(COS(RADIANS(P164)),COS(RADIANS(R164))*SIN(RADIANS(P164))))</f>
        <v>-122.922763828202</v>
      </c>
      <c r="T164" s="0" t="n">
        <f aca="false">DEGREES(ASIN(SIN(RADIANS(R164))*SIN(RADIANS(P164))))</f>
        <v>-19.9968158847904</v>
      </c>
      <c r="U164" s="0" t="n">
        <f aca="false">TAN(RADIANS(R164/2))*TAN(RADIANS(R164/2))</f>
        <v>0.0430304348371447</v>
      </c>
      <c r="V164" s="0" t="n">
        <f aca="false">4*DEGREES(U164*SIN(2*RADIANS(I164))-2*K164*SIN(RADIANS(J164))+4*K164*U164*SIN(RADIANS(J164))*COS(2*RADIANS(I164))-0.5*U164*U164*SIN(4*RADIANS(I164))-1.25*K164*K164*SIN(2*RADIANS(J164)))</f>
        <v>14.1249088387935</v>
      </c>
      <c r="W164" s="0" t="n">
        <f aca="false">DEGREES(ACOS(COS(RADIANS(90.833))/(COS(RADIANS($B$3))*COS(RADIANS(T164)))-TAN(RADIANS($B$3))*TAN(RADIANS(T164))))</f>
        <v>43.4568469710042</v>
      </c>
      <c r="X164" s="7" t="n">
        <f aca="false">(720-4*$B$4-V164+$B$5*60)/1440</f>
        <v>0.499927146639727</v>
      </c>
      <c r="Y164" s="7" t="n">
        <f aca="false">X164-W164*4/1440</f>
        <v>0.379213682831382</v>
      </c>
      <c r="Z164" s="7" t="n">
        <f aca="false">X164+W164*4/1440</f>
        <v>0.620640610448072</v>
      </c>
      <c r="AA164" s="10" t="n">
        <f aca="false">8*W164</f>
        <v>347.654775768033</v>
      </c>
      <c r="AB164" s="0" t="n">
        <f aca="false">MOD(E164*1440+V164+4*$B$4-60*$B$5,1440)</f>
        <v>978.104908838792</v>
      </c>
      <c r="AC164" s="0" t="n">
        <f aca="false">IF(AB164/4&lt;0,AB164/4+180,AB164/4-180)</f>
        <v>64.5262272096979</v>
      </c>
      <c r="AD164" s="0" t="n">
        <f aca="false">DEGREES(ACOS(SIN(RADIANS($B$3))*SIN(RADIANS(T164))+COS(RADIANS($B$3))*COS(RADIANS(T164))*COS(RADIANS(AC164))))</f>
        <v>97.7211825444952</v>
      </c>
      <c r="AE164" s="0" t="n">
        <f aca="false">90-AD164</f>
        <v>-7.72118254449522</v>
      </c>
      <c r="AF164" s="0" t="n">
        <f aca="false">IF(AE164&gt;85,0,IF(AE164&gt;5,58.1/TAN(RADIANS(AE164))-0.07/POWER(TAN(RADIANS(AE164)),3)+0.000086/POWER(TAN(RADIANS(AE164)),5),IF(AE164&gt;-0.575,1735+AE164*(-518.2+AE164*(103.4+AE164*(-12.79+AE164*0.711))),-20.772/TAN(RADIANS(AE164)))))/3600</f>
        <v>0.0425573384674122</v>
      </c>
      <c r="AG164" s="0" t="n">
        <f aca="false">AE164+AF164</f>
        <v>-7.67862520602781</v>
      </c>
      <c r="AH164" s="0" t="n">
        <f aca="false">IF(AC164&gt;0,MOD(DEGREES(ACOS(((SIN(RADIANS($B$3))*COS(RADIANS(AD164)))-SIN(RADIANS(T164)))/(COS(RADIANS($B$3))*SIN(RADIANS(AD164)))))+180,360),MOD(540-DEGREES(ACOS(((SIN(RADIANS($B$3))*COS(RADIANS(AD164)))-SIN(RADIANS(T164)))/(COS(RADIANS($B$3))*SIN(RADIANS(AD164))))),360))</f>
        <v>238.883343197456</v>
      </c>
    </row>
    <row r="165" customFormat="false" ht="15" hidden="false" customHeight="false" outlineLevel="0" collapsed="false">
      <c r="D165" s="6" t="n">
        <f aca="false">$B$7</f>
        <v>44886</v>
      </c>
      <c r="E165" s="7" t="n">
        <f aca="false">E164+0.1/24</f>
        <v>0.683333333333332</v>
      </c>
      <c r="F165" s="8" t="n">
        <f aca="false">D165+2415018.5+E165-$B$5/24</f>
        <v>2459905.14166667</v>
      </c>
      <c r="G165" s="9" t="n">
        <f aca="false">(F165-2451545)/36525</f>
        <v>0.22888820442619</v>
      </c>
      <c r="I165" s="0" t="n">
        <f aca="false">MOD(280.46646+G165*(36000.76983+G165*0.0003032),360)</f>
        <v>240.618040233858</v>
      </c>
      <c r="J165" s="0" t="n">
        <f aca="false">357.52911+G165*(35999.05029-0.0001537*G165)</f>
        <v>8597.28708387392</v>
      </c>
      <c r="K165" s="0" t="n">
        <f aca="false">0.016708634-G165*(0.000042037+0.0000001267*G165)</f>
        <v>0.0166990055887616</v>
      </c>
      <c r="L165" s="0" t="n">
        <f aca="false">SIN(RADIANS(J165))*(1.914602-G165*(0.004817+0.000014*G165))+SIN(RADIANS(2*J165))*(0.019993-0.000101*G165)+SIN(RADIANS(3*J165))*0.000289</f>
        <v>-1.31810821365027</v>
      </c>
      <c r="M165" s="0" t="n">
        <f aca="false">I165+L165</f>
        <v>239.299932020207</v>
      </c>
      <c r="N165" s="0" t="n">
        <f aca="false">J165+L165</f>
        <v>8595.96897566026</v>
      </c>
      <c r="O165" s="0" t="n">
        <f aca="false">(1.000001018*(1-K165*K165))/(1+K165*COS(RADIANS(N165)))</f>
        <v>0.987861914103935</v>
      </c>
      <c r="P165" s="0" t="n">
        <f aca="false">M165-0.00569-0.00478*SIN(RADIANS(125.04-1934.136*G165))</f>
        <v>239.291022609473</v>
      </c>
      <c r="Q165" s="0" t="n">
        <f aca="false">23+(26+((21.448-G165*(46.815+G165*(0.00059-G165*0.001813))))/60)/60</f>
        <v>23.4363146082056</v>
      </c>
      <c r="R165" s="0" t="n">
        <f aca="false">Q165+0.00256*COS(RADIANS(125.04-1934.136*G165))</f>
        <v>23.4382068880981</v>
      </c>
      <c r="S165" s="0" t="n">
        <f aca="false">DEGREES(ATAN2(COS(RADIANS(P165)),COS(RADIANS(R165))*SIN(RADIANS(P165))))</f>
        <v>-122.918391898069</v>
      </c>
      <c r="T165" s="0" t="n">
        <f aca="false">DEGREES(ASIN(SIN(RADIANS(R165))*SIN(RADIANS(P165))))</f>
        <v>-19.997725509296</v>
      </c>
      <c r="U165" s="0" t="n">
        <f aca="false">TAN(RADIANS(R165/2))*TAN(RADIANS(R165/2))</f>
        <v>0.0430304348566161</v>
      </c>
      <c r="V165" s="0" t="n">
        <f aca="false">4*DEGREES(U165*SIN(2*RADIANS(I165))-2*K165*SIN(RADIANS(J165))+4*K165*U165*SIN(RADIANS(J165))*COS(2*RADIANS(I165))-0.5*U165*U165*SIN(4*RADIANS(I165))-1.25*K165*K165*SIN(2*RADIANS(J165)))</f>
        <v>14.1238367101129</v>
      </c>
      <c r="W165" s="0" t="n">
        <f aca="false">DEGREES(ACOS(COS(RADIANS(90.833))/(COS(RADIANS($B$3))*COS(RADIANS(T165)))-TAN(RADIANS($B$3))*TAN(RADIANS(T165))))</f>
        <v>43.4537290711777</v>
      </c>
      <c r="X165" s="7" t="n">
        <f aca="false">(720-4*$B$4-V165+$B$5*60)/1440</f>
        <v>0.499927891173533</v>
      </c>
      <c r="Y165" s="7" t="n">
        <f aca="false">X165-W165*4/1440</f>
        <v>0.379223088198039</v>
      </c>
      <c r="Z165" s="7" t="n">
        <f aca="false">X165+W165*4/1440</f>
        <v>0.620632694149026</v>
      </c>
      <c r="AA165" s="10" t="n">
        <f aca="false">8*W165</f>
        <v>347.629832569422</v>
      </c>
      <c r="AB165" s="0" t="n">
        <f aca="false">MOD(E165*1440+V165+4*$B$4-60*$B$5,1440)</f>
        <v>984.103836710111</v>
      </c>
      <c r="AC165" s="0" t="n">
        <f aca="false">IF(AB165/4&lt;0,AB165/4+180,AB165/4-180)</f>
        <v>66.0259591775278</v>
      </c>
      <c r="AD165" s="0" t="n">
        <f aca="false">DEGREES(ACOS(SIN(RADIANS($B$3))*SIN(RADIANS(T165))+COS(RADIANS($B$3))*COS(RADIANS(T165))*COS(RADIANS(AC165))))</f>
        <v>98.2792210552849</v>
      </c>
      <c r="AE165" s="0" t="n">
        <f aca="false">90-AD165</f>
        <v>-8.27922105528489</v>
      </c>
      <c r="AF165" s="0" t="n">
        <f aca="false">IF(AE165&gt;85,0,IF(AE165&gt;5,58.1/TAN(RADIANS(AE165))-0.07/POWER(TAN(RADIANS(AE165)),3)+0.000086/POWER(TAN(RADIANS(AE165)),5),IF(AE165&gt;-0.575,1735+AE165*(-518.2+AE165*(103.4+AE165*(-12.79+AE165*0.711))),-20.772/TAN(RADIANS(AE165)))))/3600</f>
        <v>0.0396525792259751</v>
      </c>
      <c r="AG165" s="0" t="n">
        <f aca="false">AE165+AF165</f>
        <v>-8.23956847605892</v>
      </c>
      <c r="AH165" s="0" t="n">
        <f aca="false">IF(AC165&gt;0,MOD(DEGREES(ACOS(((SIN(RADIANS($B$3))*COS(RADIANS(AD165)))-SIN(RADIANS(T165)))/(COS(RADIANS($B$3))*SIN(RADIANS(AD165)))))+180,360),MOD(540-DEGREES(ACOS(((SIN(RADIANS($B$3))*COS(RADIANS(AD165)))-SIN(RADIANS(T165)))/(COS(RADIANS($B$3))*SIN(RADIANS(AD165))))),360))</f>
        <v>240.19018515363</v>
      </c>
    </row>
    <row r="166" customFormat="false" ht="15" hidden="false" customHeight="false" outlineLevel="0" collapsed="false">
      <c r="D166" s="6" t="n">
        <f aca="false">$B$7</f>
        <v>44886</v>
      </c>
      <c r="E166" s="7" t="n">
        <f aca="false">E165+0.1/24</f>
        <v>0.687499999999999</v>
      </c>
      <c r="F166" s="8" t="n">
        <f aca="false">D166+2415018.5+E166-$B$5/24</f>
        <v>2459905.14583333</v>
      </c>
      <c r="G166" s="9" t="n">
        <f aca="false">(F166-2451545)/36525</f>
        <v>0.228888318503312</v>
      </c>
      <c r="I166" s="0" t="n">
        <f aca="false">MOD(280.46646+G166*(36000.76983+G166*0.0003032),360)</f>
        <v>240.622147098087</v>
      </c>
      <c r="J166" s="0" t="n">
        <f aca="false">357.52911+G166*(35999.05029-0.0001537*G166)</f>
        <v>8597.29119054196</v>
      </c>
      <c r="K166" s="0" t="n">
        <f aca="false">0.016708634-G166*(0.000042037+0.0000001267*G166)</f>
        <v>0.0166990055839595</v>
      </c>
      <c r="L166" s="0" t="n">
        <f aca="false">SIN(RADIANS(J166))*(1.914602-G166*(0.004817+0.000014*G166))+SIN(RADIANS(2*J166))*(0.019993-0.000101*G166)+SIN(RADIANS(3*J166))*0.000289</f>
        <v>-1.31800724739029</v>
      </c>
      <c r="M166" s="0" t="n">
        <f aca="false">I166+L166</f>
        <v>239.304139850697</v>
      </c>
      <c r="N166" s="0" t="n">
        <f aca="false">J166+L166</f>
        <v>8595.97318329457</v>
      </c>
      <c r="O166" s="0" t="n">
        <f aca="false">(1.000001018*(1-K166*K166))/(1+K166*COS(RADIANS(N166)))</f>
        <v>0.987861082119727</v>
      </c>
      <c r="P166" s="0" t="n">
        <f aca="false">M166-0.00569-0.00478*SIN(RADIANS(125.04-1934.136*G166))</f>
        <v>239.295230453568</v>
      </c>
      <c r="Q166" s="0" t="n">
        <f aca="false">23+(26+((21.448-G166*(46.815+G166*(0.00059-G166*0.001813))))/60)/60</f>
        <v>23.4363146067221</v>
      </c>
      <c r="R166" s="0" t="n">
        <f aca="false">Q166+0.00256*COS(RADIANS(125.04-1934.136*G166))</f>
        <v>23.4382068932543</v>
      </c>
      <c r="S166" s="0" t="n">
        <f aca="false">DEGREES(ATAN2(COS(RADIANS(P166)),COS(RADIANS(R166))*SIN(RADIANS(P166))))</f>
        <v>-122.914019909568</v>
      </c>
      <c r="T166" s="0" t="n">
        <f aca="false">DEGREES(ASIN(SIN(RADIANS(R166))*SIN(RADIANS(P166))))</f>
        <v>-19.9986350282279</v>
      </c>
      <c r="U166" s="0" t="n">
        <f aca="false">TAN(RADIANS(R166/2))*TAN(RADIANS(R166/2))</f>
        <v>0.0430304348760875</v>
      </c>
      <c r="V166" s="0" t="n">
        <f aca="false">4*DEGREES(U166*SIN(2*RADIANS(I166))-2*K166*SIN(RADIANS(J166))+4*K166*U166*SIN(RADIANS(J166))*COS(2*RADIANS(I166))-0.5*U166*U166*SIN(4*RADIANS(I166))-1.25*K166*K166*SIN(2*RADIANS(J166)))</f>
        <v>14.1227643497862</v>
      </c>
      <c r="W166" s="0" t="n">
        <f aca="false">DEGREES(ACOS(COS(RADIANS(90.833))/(COS(RADIANS($B$3))*COS(RADIANS(T166)))-TAN(RADIANS($B$3))*TAN(RADIANS(T166))))</f>
        <v>43.4506113188903</v>
      </c>
      <c r="X166" s="7" t="n">
        <f aca="false">(720-4*$B$4-V166+$B$5*60)/1440</f>
        <v>0.499928635868204</v>
      </c>
      <c r="Y166" s="7" t="n">
        <f aca="false">X166-W166*4/1440</f>
        <v>0.379232493315731</v>
      </c>
      <c r="Z166" s="7" t="n">
        <f aca="false">X166+W166*4/1440</f>
        <v>0.620624778420677</v>
      </c>
      <c r="AA166" s="10" t="n">
        <f aca="false">8*W166</f>
        <v>347.604890551123</v>
      </c>
      <c r="AB166" s="0" t="n">
        <f aca="false">MOD(E166*1440+V166+4*$B$4-60*$B$5,1440)</f>
        <v>990.102764349784</v>
      </c>
      <c r="AC166" s="0" t="n">
        <f aca="false">IF(AB166/4&lt;0,AB166/4+180,AB166/4-180)</f>
        <v>67.5256910874461</v>
      </c>
      <c r="AD166" s="0" t="n">
        <f aca="false">DEGREES(ACOS(SIN(RADIANS($B$3))*SIN(RADIANS(T166))+COS(RADIANS($B$3))*COS(RADIANS(T166))*COS(RADIANS(AC166))))</f>
        <v>98.8445831942994</v>
      </c>
      <c r="AE166" s="0" t="n">
        <f aca="false">90-AD166</f>
        <v>-8.84458319429938</v>
      </c>
      <c r="AF166" s="0" t="n">
        <f aca="false">IF(AE166&gt;85,0,IF(AE166&gt;5,58.1/TAN(RADIANS(AE166))-0.07/POWER(TAN(RADIANS(AE166)),3)+0.000086/POWER(TAN(RADIANS(AE166)),5),IF(AE166&gt;-0.575,1735+AE166*(-518.2+AE166*(103.4+AE166*(-12.79+AE166*0.711))),-20.772/TAN(RADIANS(AE166)))))/3600</f>
        <v>0.0370810594651004</v>
      </c>
      <c r="AG166" s="0" t="n">
        <f aca="false">AE166+AF166</f>
        <v>-8.80750213483428</v>
      </c>
      <c r="AH166" s="0" t="n">
        <f aca="false">IF(AC166&gt;0,MOD(DEGREES(ACOS(((SIN(RADIANS($B$3))*COS(RADIANS(AD166)))-SIN(RADIANS(T166)))/(COS(RADIANS($B$3))*SIN(RADIANS(AD166)))))+180,360),MOD(540-DEGREES(ACOS(((SIN(RADIANS($B$3))*COS(RADIANS(AD166)))-SIN(RADIANS(T166)))/(COS(RADIANS($B$3))*SIN(RADIANS(AD166))))),360))</f>
        <v>241.495665811873</v>
      </c>
    </row>
    <row r="167" customFormat="false" ht="15" hidden="false" customHeight="false" outlineLevel="0" collapsed="false">
      <c r="D167" s="6" t="n">
        <f aca="false">$B$7</f>
        <v>44886</v>
      </c>
      <c r="E167" s="7" t="n">
        <f aca="false">E166+0.1/24</f>
        <v>0.691666666666665</v>
      </c>
      <c r="F167" s="8" t="n">
        <f aca="false">D167+2415018.5+E167-$B$5/24</f>
        <v>2459905.15</v>
      </c>
      <c r="G167" s="9" t="n">
        <f aca="false">(F167-2451545)/36525</f>
        <v>0.228888432580435</v>
      </c>
      <c r="I167" s="0" t="n">
        <f aca="false">MOD(280.46646+G167*(36000.76983+G167*0.0003032),360)</f>
        <v>240.626253962319</v>
      </c>
      <c r="J167" s="0" t="n">
        <f aca="false">357.52911+G167*(35999.05029-0.0001537*G167)</f>
        <v>8597.29529721001</v>
      </c>
      <c r="K167" s="0" t="n">
        <f aca="false">0.016708634-G167*(0.000042037+0.0000001267*G167)</f>
        <v>0.0166990055791574</v>
      </c>
      <c r="L167" s="0" t="n">
        <f aca="false">SIN(RADIANS(J167))*(1.914602-G167*(0.004817+0.000014*G167))+SIN(RADIANS(2*J167))*(0.019993-0.000101*G167)+SIN(RADIANS(3*J167))*0.000289</f>
        <v>-1.31790627404322</v>
      </c>
      <c r="M167" s="0" t="n">
        <f aca="false">I167+L167</f>
        <v>239.308347688275</v>
      </c>
      <c r="N167" s="0" t="n">
        <f aca="false">J167+L167</f>
        <v>8595.97739093597</v>
      </c>
      <c r="O167" s="0" t="n">
        <f aca="false">(1.000001018*(1-K167*K167))/(1+K167*COS(RADIANS(N167)))</f>
        <v>0.987860250198728</v>
      </c>
      <c r="P167" s="0" t="n">
        <f aca="false">M167-0.00569-0.00478*SIN(RADIANS(125.04-1934.136*G167))</f>
        <v>239.299438304753</v>
      </c>
      <c r="Q167" s="0" t="n">
        <f aca="false">23+(26+((21.448-G167*(46.815+G167*(0.00059-G167*0.001813))))/60)/60</f>
        <v>23.4363146052387</v>
      </c>
      <c r="R167" s="0" t="n">
        <f aca="false">Q167+0.00256*COS(RADIANS(125.04-1934.136*G167))</f>
        <v>23.4382068984106</v>
      </c>
      <c r="S167" s="0" t="n">
        <f aca="false">DEGREES(ATAN2(COS(RADIANS(P167)),COS(RADIANS(R167))*SIN(RADIANS(P167))))</f>
        <v>-122.909647863187</v>
      </c>
      <c r="T167" s="0" t="n">
        <f aca="false">DEGREES(ASIN(SIN(RADIANS(R167))*SIN(RADIANS(P167))))</f>
        <v>-19.9995444414776</v>
      </c>
      <c r="U167" s="0" t="n">
        <f aca="false">TAN(RADIANS(R167/2))*TAN(RADIANS(R167/2))</f>
        <v>0.0430304348955588</v>
      </c>
      <c r="V167" s="0" t="n">
        <f aca="false">4*DEGREES(U167*SIN(2*RADIANS(I167))-2*K167*SIN(RADIANS(J167))+4*K167*U167*SIN(RADIANS(J167))*COS(2*RADIANS(I167))-0.5*U167*U167*SIN(4*RADIANS(I167))-1.25*K167*K167*SIN(2*RADIANS(J167)))</f>
        <v>14.1216917579464</v>
      </c>
      <c r="W167" s="0" t="n">
        <f aca="false">DEGREES(ACOS(COS(RADIANS(90.833))/(COS(RADIANS($B$3))*COS(RADIANS(T167)))-TAN(RADIANS($B$3))*TAN(RADIANS(T167))))</f>
        <v>43.4474937145395</v>
      </c>
      <c r="X167" s="7" t="n">
        <f aca="false">(720-4*$B$4-V167+$B$5*60)/1440</f>
        <v>0.499929380723648</v>
      </c>
      <c r="Y167" s="7" t="n">
        <f aca="false">X167-W167*4/1440</f>
        <v>0.379241898183261</v>
      </c>
      <c r="Z167" s="7" t="n">
        <f aca="false">X167+W167*4/1440</f>
        <v>0.620616863264036</v>
      </c>
      <c r="AA167" s="10" t="n">
        <f aca="false">8*W167</f>
        <v>347.579949716316</v>
      </c>
      <c r="AB167" s="0" t="n">
        <f aca="false">MOD(E167*1440+V167+4*$B$4-60*$B$5,1440)</f>
        <v>996.101691757945</v>
      </c>
      <c r="AC167" s="0" t="n">
        <f aca="false">IF(AB167/4&lt;0,AB167/4+180,AB167/4-180)</f>
        <v>69.0254229394861</v>
      </c>
      <c r="AD167" s="0" t="n">
        <f aca="false">DEGREES(ACOS(SIN(RADIANS($B$3))*SIN(RADIANS(T167))+COS(RADIANS($B$3))*COS(RADIANS(T167))*COS(RADIANS(AC167))))</f>
        <v>99.416969083341</v>
      </c>
      <c r="AE167" s="0" t="n">
        <f aca="false">90-AD167</f>
        <v>-9.41696908334102</v>
      </c>
      <c r="AF167" s="0" t="n">
        <f aca="false">IF(AE167&gt;85,0,IF(AE167&gt;5,58.1/TAN(RADIANS(AE167))-0.07/POWER(TAN(RADIANS(AE167)),3)+0.000086/POWER(TAN(RADIANS(AE167)),5),IF(AE167&gt;-0.575,1735+AE167*(-518.2+AE167*(103.4+AE167*(-12.79+AE167*0.711))),-20.772/TAN(RADIANS(AE167)))))/3600</f>
        <v>0.0347897968964271</v>
      </c>
      <c r="AG167" s="0" t="n">
        <f aca="false">AE167+AF167</f>
        <v>-9.38217928644459</v>
      </c>
      <c r="AH167" s="0" t="n">
        <f aca="false">IF(AC167&gt;0,MOD(DEGREES(ACOS(((SIN(RADIANS($B$3))*COS(RADIANS(AD167)))-SIN(RADIANS(T167)))/(COS(RADIANS($B$3))*SIN(RADIANS(AD167)))))+180,360),MOD(540-DEGREES(ACOS(((SIN(RADIANS($B$3))*COS(RADIANS(AD167)))-SIN(RADIANS(T167)))/(COS(RADIANS($B$3))*SIN(RADIANS(AD167))))),360))</f>
        <v>242.800017889399</v>
      </c>
    </row>
    <row r="168" customFormat="false" ht="15" hidden="false" customHeight="false" outlineLevel="0" collapsed="false">
      <c r="D168" s="6" t="n">
        <f aca="false">$B$7</f>
        <v>44886</v>
      </c>
      <c r="E168" s="7" t="n">
        <f aca="false">E167+0.1/24</f>
        <v>0.695833333333332</v>
      </c>
      <c r="F168" s="8" t="n">
        <f aca="false">D168+2415018.5+E168-$B$5/24</f>
        <v>2459905.15416667</v>
      </c>
      <c r="G168" s="9" t="n">
        <f aca="false">(F168-2451545)/36525</f>
        <v>0.228888546657544</v>
      </c>
      <c r="I168" s="0" t="n">
        <f aca="false">MOD(280.46646+G168*(36000.76983+G168*0.0003032),360)</f>
        <v>240.630360826091</v>
      </c>
      <c r="J168" s="0" t="n">
        <f aca="false">357.52911+G168*(35999.05029-0.0001537*G168)</f>
        <v>8597.2994038776</v>
      </c>
      <c r="K168" s="0" t="n">
        <f aca="false">0.016708634-G168*(0.000042037+0.0000001267*G168)</f>
        <v>0.0166990055743554</v>
      </c>
      <c r="L168" s="0" t="n">
        <f aca="false">SIN(RADIANS(J168))*(1.914602-G168*(0.004817+0.000014*G168))+SIN(RADIANS(2*J168))*(0.019993-0.000101*G168)+SIN(RADIANS(3*J168))*0.000289</f>
        <v>-1.3178052936209</v>
      </c>
      <c r="M168" s="0" t="n">
        <f aca="false">I168+L168</f>
        <v>239.312555532471</v>
      </c>
      <c r="N168" s="0" t="n">
        <f aca="false">J168+L168</f>
        <v>8595.98159858398</v>
      </c>
      <c r="O168" s="0" t="n">
        <f aca="false">(1.000001018*(1-K168*K168))/(1+K168*COS(RADIANS(N168)))</f>
        <v>0.987859418341034</v>
      </c>
      <c r="P168" s="0" t="n">
        <f aca="false">M168-0.00569-0.00478*SIN(RADIANS(125.04-1934.136*G168))</f>
        <v>239.303646162554</v>
      </c>
      <c r="Q168" s="0" t="n">
        <f aca="false">23+(26+((21.448-G168*(46.815+G168*(0.00059-G168*0.001813))))/60)/60</f>
        <v>23.4363146037552</v>
      </c>
      <c r="R168" s="0" t="n">
        <f aca="false">Q168+0.00256*COS(RADIANS(125.04-1934.136*G168))</f>
        <v>23.4382069035668</v>
      </c>
      <c r="S168" s="0" t="n">
        <f aca="false">DEGREES(ATAN2(COS(RADIANS(P168)),COS(RADIANS(R168))*SIN(RADIANS(P168))))</f>
        <v>-122.90527575942</v>
      </c>
      <c r="T168" s="0" t="n">
        <f aca="false">DEGREES(ASIN(SIN(RADIANS(R168))*SIN(RADIANS(P168))))</f>
        <v>-20.0004537489362</v>
      </c>
      <c r="U168" s="0" t="n">
        <f aca="false">TAN(RADIANS(R168/2))*TAN(RADIANS(R168/2))</f>
        <v>0.0430304349150299</v>
      </c>
      <c r="V168" s="0" t="n">
        <f aca="false">4*DEGREES(U168*SIN(2*RADIANS(I168))-2*K168*SIN(RADIANS(J168))+4*K168*U168*SIN(RADIANS(J168))*COS(2*RADIANS(I168))-0.5*U168*U168*SIN(4*RADIANS(I168))-1.25*K168*K168*SIN(2*RADIANS(J168)))</f>
        <v>14.120618934728</v>
      </c>
      <c r="W168" s="0" t="n">
        <f aca="false">DEGREES(ACOS(COS(RADIANS(90.833))/(COS(RADIANS($B$3))*COS(RADIANS(T168)))-TAN(RADIANS($B$3))*TAN(RADIANS(T168))))</f>
        <v>43.4443762585259</v>
      </c>
      <c r="X168" s="7" t="n">
        <f aca="false">(720-4*$B$4-V168+$B$5*60)/1440</f>
        <v>0.499930125739772</v>
      </c>
      <c r="Y168" s="7" t="n">
        <f aca="false">X168-W168*4/1440</f>
        <v>0.379251302799423</v>
      </c>
      <c r="Z168" s="7" t="n">
        <f aca="false">X168+W168*4/1440</f>
        <v>0.620608948680122</v>
      </c>
      <c r="AA168" s="10" t="n">
        <f aca="false">8*W168</f>
        <v>347.555010068207</v>
      </c>
      <c r="AB168" s="0" t="n">
        <f aca="false">MOD(E168*1440+V168+4*$B$4-60*$B$5,1440)</f>
        <v>1002.10061893473</v>
      </c>
      <c r="AC168" s="0" t="n">
        <f aca="false">IF(AB168/4&lt;0,AB168/4+180,AB168/4-180)</f>
        <v>70.5251547336815</v>
      </c>
      <c r="AD168" s="0" t="n">
        <f aca="false">DEGREES(ACOS(SIN(RADIANS($B$3))*SIN(RADIANS(T168))+COS(RADIANS($B$3))*COS(RADIANS(T168))*COS(RADIANS(AC168))))</f>
        <v>99.9960772477286</v>
      </c>
      <c r="AE168" s="0" t="n">
        <f aca="false">90-AD168</f>
        <v>-9.99607724772859</v>
      </c>
      <c r="AF168" s="0" t="n">
        <f aca="false">IF(AE168&gt;85,0,IF(AE168&gt;5,58.1/TAN(RADIANS(AE168))-0.07/POWER(TAN(RADIANS(AE168)),3)+0.000086/POWER(TAN(RADIANS(AE168)),5),IF(AE168&gt;-0.575,1735+AE168*(-518.2+AE168*(103.4+AE168*(-12.79+AE168*0.711))),-20.772/TAN(RADIANS(AE168)))))/3600</f>
        <v>0.032736402162648</v>
      </c>
      <c r="AG168" s="0" t="n">
        <f aca="false">AE168+AF168</f>
        <v>-9.96334084556595</v>
      </c>
      <c r="AH168" s="0" t="n">
        <f aca="false">IF(AC168&gt;0,MOD(DEGREES(ACOS(((SIN(RADIANS($B$3))*COS(RADIANS(AD168)))-SIN(RADIANS(T168)))/(COS(RADIANS($B$3))*SIN(RADIANS(AD168)))))+180,360),MOD(540-DEGREES(ACOS(((SIN(RADIANS($B$3))*COS(RADIANS(AD168)))-SIN(RADIANS(T168)))/(COS(RADIANS($B$3))*SIN(RADIANS(AD168))))),360))</f>
        <v>244.103484630515</v>
      </c>
    </row>
    <row r="169" customFormat="false" ht="15" hidden="false" customHeight="false" outlineLevel="0" collapsed="false">
      <c r="D169" s="6" t="n">
        <f aca="false">$B$7</f>
        <v>44886</v>
      </c>
      <c r="E169" s="7" t="n">
        <f aca="false">E168+0.1/24</f>
        <v>0.699999999999999</v>
      </c>
      <c r="F169" s="8" t="n">
        <f aca="false">D169+2415018.5+E169-$B$5/24</f>
        <v>2459905.15833333</v>
      </c>
      <c r="G169" s="9" t="n">
        <f aca="false">(F169-2451545)/36525</f>
        <v>0.228888660734666</v>
      </c>
      <c r="I169" s="0" t="n">
        <f aca="false">MOD(280.46646+G169*(36000.76983+G169*0.0003032),360)</f>
        <v>240.634467690323</v>
      </c>
      <c r="J169" s="0" t="n">
        <f aca="false">357.52911+G169*(35999.05029-0.0001537*G169)</f>
        <v>8597.30351054564</v>
      </c>
      <c r="K169" s="0" t="n">
        <f aca="false">0.016708634-G169*(0.000042037+0.0000001267*G169)</f>
        <v>0.0166990055695533</v>
      </c>
      <c r="L169" s="0" t="n">
        <f aca="false">SIN(RADIANS(J169))*(1.914602-G169*(0.004817+0.000014*G169))+SIN(RADIANS(2*J169))*(0.019993-0.000101*G169)+SIN(RADIANS(3*J169))*0.000289</f>
        <v>-1.31770430610127</v>
      </c>
      <c r="M169" s="0" t="n">
        <f aca="false">I169+L169</f>
        <v>239.316763384221</v>
      </c>
      <c r="N169" s="0" t="n">
        <f aca="false">J169+L169</f>
        <v>8595.98580623954</v>
      </c>
      <c r="O169" s="0" t="n">
        <f aca="false">(1.000001018*(1-K169*K169))/(1+K169*COS(RADIANS(N169)))</f>
        <v>0.987858586546465</v>
      </c>
      <c r="P169" s="0" t="n">
        <f aca="false">M169-0.00569-0.00478*SIN(RADIANS(125.04-1934.136*G169))</f>
        <v>239.307854027912</v>
      </c>
      <c r="Q169" s="0" t="n">
        <f aca="false">23+(26+((21.448-G169*(46.815+G169*(0.00059-G169*0.001813))))/60)/60</f>
        <v>23.4363146022717</v>
      </c>
      <c r="R169" s="0" t="n">
        <f aca="false">Q169+0.00256*COS(RADIANS(125.04-1934.136*G169))</f>
        <v>23.4382069087229</v>
      </c>
      <c r="S169" s="0" t="n">
        <f aca="false">DEGREES(ATAN2(COS(RADIANS(P169)),COS(RADIANS(R169))*SIN(RADIANS(P169))))</f>
        <v>-122.900903597295</v>
      </c>
      <c r="T169" s="0" t="n">
        <f aca="false">DEGREES(ASIN(SIN(RADIANS(R169))*SIN(RADIANS(P169))))</f>
        <v>-20.0013629507994</v>
      </c>
      <c r="U169" s="0" t="n">
        <f aca="false">TAN(RADIANS(R169/2))*TAN(RADIANS(R169/2))</f>
        <v>0.043030434934501</v>
      </c>
      <c r="V169" s="0" t="n">
        <f aca="false">4*DEGREES(U169*SIN(2*RADIANS(I169))-2*K169*SIN(RADIANS(J169))+4*K169*U169*SIN(RADIANS(J169))*COS(2*RADIANS(I169))-0.5*U169*U169*SIN(4*RADIANS(I169))-1.25*K169*K169*SIN(2*RADIANS(J169)))</f>
        <v>14.1195458799054</v>
      </c>
      <c r="W169" s="0" t="n">
        <f aca="false">DEGREES(ACOS(COS(RADIANS(90.833))/(COS(RADIANS($B$3))*COS(RADIANS(T169)))-TAN(RADIANS($B$3))*TAN(RADIANS(T169))))</f>
        <v>43.4412589502043</v>
      </c>
      <c r="X169" s="7" t="n">
        <f aca="false">(720-4*$B$4-V169+$B$5*60)/1440</f>
        <v>0.499930870916732</v>
      </c>
      <c r="Y169" s="7" t="n">
        <f aca="false">X169-W169*4/1440</f>
        <v>0.379260707166165</v>
      </c>
      <c r="Z169" s="7" t="n">
        <f aca="false">X169+W169*4/1440</f>
        <v>0.6206010346673</v>
      </c>
      <c r="AA169" s="10" t="n">
        <f aca="false">8*W169</f>
        <v>347.530071601634</v>
      </c>
      <c r="AB169" s="0" t="n">
        <f aca="false">MOD(E169*1440+V169+4*$B$4-60*$B$5,1440)</f>
        <v>1008.0995458799</v>
      </c>
      <c r="AC169" s="0" t="n">
        <f aca="false">IF(AB169/4&lt;0,AB169/4+180,AB169/4-180)</f>
        <v>72.0248864699759</v>
      </c>
      <c r="AD169" s="0" t="n">
        <f aca="false">DEGREES(ACOS(SIN(RADIANS($B$3))*SIN(RADIANS(T169))+COS(RADIANS($B$3))*COS(RADIANS(T169))*COS(RADIANS(AC169))))</f>
        <v>100.581604620095</v>
      </c>
      <c r="AE169" s="0" t="n">
        <f aca="false">90-AD169</f>
        <v>-10.5816046200955</v>
      </c>
      <c r="AF169" s="0" t="n">
        <f aca="false">IF(AE169&gt;85,0,IF(AE169&gt;5,58.1/TAN(RADIANS(AE169))-0.07/POWER(TAN(RADIANS(AE169)),3)+0.000086/POWER(TAN(RADIANS(AE169)),5),IF(AE169&gt;-0.575,1735+AE169*(-518.2+AE169*(103.4+AE169*(-12.79+AE169*0.711))),-20.772/TAN(RADIANS(AE169)))))/3600</f>
        <v>0.0308865628682842</v>
      </c>
      <c r="AG169" s="0" t="n">
        <f aca="false">AE169+AF169</f>
        <v>-10.5507180572272</v>
      </c>
      <c r="AH169" s="0" t="n">
        <f aca="false">IF(AC169&gt;0,MOD(DEGREES(ACOS(((SIN(RADIANS($B$3))*COS(RADIANS(AD169)))-SIN(RADIANS(T169)))/(COS(RADIANS($B$3))*SIN(RADIANS(AD169)))))+180,360),MOD(540-DEGREES(ACOS(((SIN(RADIANS($B$3))*COS(RADIANS(AD169)))-SIN(RADIANS(T169)))/(COS(RADIANS($B$3))*SIN(RADIANS(AD169))))),360))</f>
        <v>245.406319643862</v>
      </c>
    </row>
    <row r="170" customFormat="false" ht="15" hidden="false" customHeight="false" outlineLevel="0" collapsed="false">
      <c r="D170" s="6" t="n">
        <f aca="false">$B$7</f>
        <v>44886</v>
      </c>
      <c r="E170" s="7" t="n">
        <f aca="false">E169+0.1/24</f>
        <v>0.704166666666665</v>
      </c>
      <c r="F170" s="8" t="n">
        <f aca="false">D170+2415018.5+E170-$B$5/24</f>
        <v>2459905.1625</v>
      </c>
      <c r="G170" s="9" t="n">
        <f aca="false">(F170-2451545)/36525</f>
        <v>0.228888774811775</v>
      </c>
      <c r="I170" s="0" t="n">
        <f aca="false">MOD(280.46646+G170*(36000.76983+G170*0.0003032),360)</f>
        <v>240.638574554092</v>
      </c>
      <c r="J170" s="0" t="n">
        <f aca="false">357.52911+G170*(35999.05029-0.0001537*G170)</f>
        <v>8597.30761721323</v>
      </c>
      <c r="K170" s="0" t="n">
        <f aca="false">0.016708634-G170*(0.000042037+0.0000001267*G170)</f>
        <v>0.0166990055647512</v>
      </c>
      <c r="L170" s="0" t="n">
        <f aca="false">SIN(RADIANS(J170))*(1.914602-G170*(0.004817+0.000014*G170))+SIN(RADIANS(2*J170))*(0.019993-0.000101*G170)+SIN(RADIANS(3*J170))*0.000289</f>
        <v>-1.31760331150749</v>
      </c>
      <c r="M170" s="0" t="n">
        <f aca="false">I170+L170</f>
        <v>239.320971242584</v>
      </c>
      <c r="N170" s="0" t="n">
        <f aca="false">J170+L170</f>
        <v>8595.99001390172</v>
      </c>
      <c r="O170" s="0" t="n">
        <f aca="false">(1.000001018*(1-K170*K170))/(1+K170*COS(RADIANS(N170)))</f>
        <v>0.987857754815211</v>
      </c>
      <c r="P170" s="0" t="n">
        <f aca="false">M170-0.00569-0.00478*SIN(RADIANS(125.04-1934.136*G170))</f>
        <v>239.312061899881</v>
      </c>
      <c r="Q170" s="0" t="n">
        <f aca="false">23+(26+((21.448-G170*(46.815+G170*(0.00059-G170*0.001813))))/60)/60</f>
        <v>23.4363146007882</v>
      </c>
      <c r="R170" s="0" t="n">
        <f aca="false">Q170+0.00256*COS(RADIANS(125.04-1934.136*G170))</f>
        <v>23.4382069138791</v>
      </c>
      <c r="S170" s="0" t="n">
        <f aca="false">DEGREES(ATAN2(COS(RADIANS(P170)),COS(RADIANS(R170))*SIN(RADIANS(P170))))</f>
        <v>-122.896531377793</v>
      </c>
      <c r="T170" s="0" t="n">
        <f aca="false">DEGREES(ASIN(SIN(RADIANS(R170))*SIN(RADIANS(P170))))</f>
        <v>-20.0022720468564</v>
      </c>
      <c r="U170" s="0" t="n">
        <f aca="false">TAN(RADIANS(R170/2))*TAN(RADIANS(R170/2))</f>
        <v>0.0430304349539719</v>
      </c>
      <c r="V170" s="0" t="n">
        <f aca="false">4*DEGREES(U170*SIN(2*RADIANS(I170))-2*K170*SIN(RADIANS(J170))+4*K170*U170*SIN(RADIANS(J170))*COS(2*RADIANS(I170))-0.5*U170*U170*SIN(4*RADIANS(I170))-1.25*K170*K170*SIN(2*RADIANS(J170)))</f>
        <v>14.1184725937332</v>
      </c>
      <c r="W170" s="0" t="n">
        <f aca="false">DEGREES(ACOS(COS(RADIANS(90.833))/(COS(RADIANS($B$3))*COS(RADIANS(T170)))-TAN(RADIANS($B$3))*TAN(RADIANS(T170))))</f>
        <v>43.4381417903245</v>
      </c>
      <c r="X170" s="7" t="n">
        <f aca="false">(720-4*$B$4-V170+$B$5*60)/1440</f>
        <v>0.499931616254352</v>
      </c>
      <c r="Y170" s="7" t="n">
        <f aca="false">X170-W170*4/1440</f>
        <v>0.379270111281228</v>
      </c>
      <c r="Z170" s="7" t="n">
        <f aca="false">X170+W170*4/1440</f>
        <v>0.620593121227476</v>
      </c>
      <c r="AA170" s="10" t="n">
        <f aca="false">8*W170</f>
        <v>347.505134322596</v>
      </c>
      <c r="AB170" s="0" t="n">
        <f aca="false">MOD(E170*1440+V170+4*$B$4-60*$B$5,1440)</f>
        <v>1014.09847259373</v>
      </c>
      <c r="AC170" s="0" t="n">
        <f aca="false">IF(AB170/4&lt;0,AB170/4+180,AB170/4-180)</f>
        <v>73.5246181484329</v>
      </c>
      <c r="AD170" s="0" t="n">
        <f aca="false">DEGREES(ACOS(SIN(RADIANS($B$3))*SIN(RADIANS(T170))+COS(RADIANS($B$3))*COS(RADIANS(T170))*COS(RADIANS(AC170))))</f>
        <v>101.173246525208</v>
      </c>
      <c r="AE170" s="0" t="n">
        <f aca="false">90-AD170</f>
        <v>-11.1732465252077</v>
      </c>
      <c r="AF170" s="0" t="n">
        <f aca="false">IF(AE170&gt;85,0,IF(AE170&gt;5,58.1/TAN(RADIANS(AE170))-0.07/POWER(TAN(RADIANS(AE170)),3)+0.000086/POWER(TAN(RADIANS(AE170)),5),IF(AE170&gt;-0.575,1735+AE170*(-518.2+AE170*(103.4+AE170*(-12.79+AE170*0.711))),-20.772/TAN(RADIANS(AE170)))))/3600</f>
        <v>0.0292122118759358</v>
      </c>
      <c r="AG170" s="0" t="n">
        <f aca="false">AE170+AF170</f>
        <v>-11.1440343133318</v>
      </c>
      <c r="AH170" s="0" t="n">
        <f aca="false">IF(AC170&gt;0,MOD(DEGREES(ACOS(((SIN(RADIANS($B$3))*COS(RADIANS(AD170)))-SIN(RADIANS(T170)))/(COS(RADIANS($B$3))*SIN(RADIANS(AD170)))))+180,360),MOD(540-DEGREES(ACOS(((SIN(RADIANS($B$3))*COS(RADIANS(AD170)))-SIN(RADIANS(T170)))/(COS(RADIANS($B$3))*SIN(RADIANS(AD170))))),360))</f>
        <v>246.708786746248</v>
      </c>
    </row>
    <row r="171" customFormat="false" ht="15" hidden="false" customHeight="false" outlineLevel="0" collapsed="false">
      <c r="D171" s="6" t="n">
        <f aca="false">$B$7</f>
        <v>44886</v>
      </c>
      <c r="E171" s="7" t="n">
        <f aca="false">E170+0.1/24</f>
        <v>0.708333333333332</v>
      </c>
      <c r="F171" s="8" t="n">
        <f aca="false">D171+2415018.5+E171-$B$5/24</f>
        <v>2459905.16666667</v>
      </c>
      <c r="G171" s="9" t="n">
        <f aca="false">(F171-2451545)/36525</f>
        <v>0.228888888888897</v>
      </c>
      <c r="I171" s="0" t="n">
        <f aca="false">MOD(280.46646+G171*(36000.76983+G171*0.0003032),360)</f>
        <v>240.642681418323</v>
      </c>
      <c r="J171" s="0" t="n">
        <f aca="false">357.52911+G171*(35999.05029-0.0001537*G171)</f>
        <v>8597.31172388128</v>
      </c>
      <c r="K171" s="0" t="n">
        <f aca="false">0.016708634-G171*(0.000042037+0.0000001267*G171)</f>
        <v>0.0166990055599491</v>
      </c>
      <c r="L171" s="0" t="n">
        <f aca="false">SIN(RADIANS(J171))*(1.914602-G171*(0.004817+0.000014*G171))+SIN(RADIANS(2*J171))*(0.019993-0.000101*G171)+SIN(RADIANS(3*J171))*0.000289</f>
        <v>-1.31750230981743</v>
      </c>
      <c r="M171" s="0" t="n">
        <f aca="false">I171+L171</f>
        <v>239.325179108506</v>
      </c>
      <c r="N171" s="0" t="n">
        <f aca="false">J171+L171</f>
        <v>8595.99422157146</v>
      </c>
      <c r="O171" s="0" t="n">
        <f aca="false">(1.000001018*(1-K171*K171))/(1+K171*COS(RADIANS(N171)))</f>
        <v>0.987856923147092</v>
      </c>
      <c r="P171" s="0" t="n">
        <f aca="false">M171-0.00569-0.00478*SIN(RADIANS(125.04-1934.136*G171))</f>
        <v>239.316269779409</v>
      </c>
      <c r="Q171" s="0" t="n">
        <f aca="false">23+(26+((21.448-G171*(46.815+G171*(0.00059-G171*0.001813))))/60)/60</f>
        <v>23.4363145993048</v>
      </c>
      <c r="R171" s="0" t="n">
        <f aca="false">Q171+0.00256*COS(RADIANS(125.04-1934.136*G171))</f>
        <v>23.4382069190352</v>
      </c>
      <c r="S171" s="0" t="n">
        <f aca="false">DEGREES(ATAN2(COS(RADIANS(P171)),COS(RADIANS(R171))*SIN(RADIANS(P171))))</f>
        <v>-122.892159099935</v>
      </c>
      <c r="T171" s="0" t="n">
        <f aca="false">DEGREES(ASIN(SIN(RADIANS(R171))*SIN(RADIANS(P171))))</f>
        <v>-20.0031810373043</v>
      </c>
      <c r="U171" s="0" t="n">
        <f aca="false">TAN(RADIANS(R171/2))*TAN(RADIANS(R171/2))</f>
        <v>0.0430304349734428</v>
      </c>
      <c r="V171" s="0" t="n">
        <f aca="false">4*DEGREES(U171*SIN(2*RADIANS(I171))-2*K171*SIN(RADIANS(J171))+4*K171*U171*SIN(RADIANS(J171))*COS(2*RADIANS(I171))-0.5*U171*U171*SIN(4*RADIANS(I171))-1.25*K171*K171*SIN(2*RADIANS(J171)))</f>
        <v>14.1173990759844</v>
      </c>
      <c r="W171" s="0" t="n">
        <f aca="false">DEGREES(ACOS(COS(RADIANS(90.833))/(COS(RADIANS($B$3))*COS(RADIANS(T171)))-TAN(RADIANS($B$3))*TAN(RADIANS(T171))))</f>
        <v>43.4350247782364</v>
      </c>
      <c r="X171" s="7" t="n">
        <f aca="false">(720-4*$B$4-V171+$B$5*60)/1440</f>
        <v>0.499932361752789</v>
      </c>
      <c r="Y171" s="7" t="n">
        <f aca="false">X171-W171*4/1440</f>
        <v>0.379279515146577</v>
      </c>
      <c r="Z171" s="7" t="n">
        <f aca="false">X171+W171*4/1440</f>
        <v>0.620585208359001</v>
      </c>
      <c r="AA171" s="10" t="n">
        <f aca="false">8*W171</f>
        <v>347.480198225891</v>
      </c>
      <c r="AB171" s="0" t="n">
        <f aca="false">MOD(E171*1440+V171+4*$B$4-60*$B$5,1440)</f>
        <v>1020.09739907598</v>
      </c>
      <c r="AC171" s="0" t="n">
        <f aca="false">IF(AB171/4&lt;0,AB171/4+180,AB171/4-180)</f>
        <v>75.0243497689957</v>
      </c>
      <c r="AD171" s="0" t="n">
        <f aca="false">DEGREES(ACOS(SIN(RADIANS($B$3))*SIN(RADIANS(T171))+COS(RADIANS($B$3))*COS(RADIANS(T171))*COS(RADIANS(AC171))))</f>
        <v>101.770696648111</v>
      </c>
      <c r="AE171" s="0" t="n">
        <f aca="false">90-AD171</f>
        <v>-11.7706966481109</v>
      </c>
      <c r="AF171" s="0" t="n">
        <f aca="false">IF(AE171&gt;85,0,IF(AE171&gt;5,58.1/TAN(RADIANS(AE171))-0.07/POWER(TAN(RADIANS(AE171)),3)+0.000086/POWER(TAN(RADIANS(AE171)),5),IF(AE171&gt;-0.575,1735+AE171*(-518.2+AE171*(103.4+AE171*(-12.79+AE171*0.711))),-20.772/TAN(RADIANS(AE171)))))/3600</f>
        <v>0.0276901721907638</v>
      </c>
      <c r="AG171" s="0" t="n">
        <f aca="false">AE171+AF171</f>
        <v>-11.7430064759201</v>
      </c>
      <c r="AH171" s="0" t="n">
        <f aca="false">IF(AC171&gt;0,MOD(DEGREES(ACOS(((SIN(RADIANS($B$3))*COS(RADIANS(AD171)))-SIN(RADIANS(T171)))/(COS(RADIANS($B$3))*SIN(RADIANS(AD171)))))+180,360),MOD(540-DEGREES(ACOS(((SIN(RADIANS($B$3))*COS(RADIANS(AD171)))-SIN(RADIANS(T171)))/(COS(RADIANS($B$3))*SIN(RADIANS(AD171))))),360))</f>
        <v>248.011159811454</v>
      </c>
    </row>
    <row r="172" customFormat="false" ht="15" hidden="false" customHeight="false" outlineLevel="0" collapsed="false">
      <c r="D172" s="6" t="n">
        <f aca="false">$B$7</f>
        <v>44886</v>
      </c>
      <c r="E172" s="7" t="n">
        <f aca="false">E171+0.1/24</f>
        <v>0.712499999999999</v>
      </c>
      <c r="F172" s="8" t="n">
        <f aca="false">D172+2415018.5+E172-$B$5/24</f>
        <v>2459905.17083333</v>
      </c>
      <c r="G172" s="9" t="n">
        <f aca="false">(F172-2451545)/36525</f>
        <v>0.228889002966007</v>
      </c>
      <c r="I172" s="0" t="n">
        <f aca="false">MOD(280.46646+G172*(36000.76983+G172*0.0003032),360)</f>
        <v>240.646788282096</v>
      </c>
      <c r="J172" s="0" t="n">
        <f aca="false">357.52911+G172*(35999.05029-0.0001537*G172)</f>
        <v>8597.31583054887</v>
      </c>
      <c r="K172" s="0" t="n">
        <f aca="false">0.016708634-G172*(0.000042037+0.0000001267*G172)</f>
        <v>0.0166990055551471</v>
      </c>
      <c r="L172" s="0" t="n">
        <f aca="false">SIN(RADIANS(J172))*(1.914602-G172*(0.004817+0.000014*G172))+SIN(RADIANS(2*J172))*(0.019993-0.000101*G172)+SIN(RADIANS(3*J172))*0.000289</f>
        <v>-1.31740130105414</v>
      </c>
      <c r="M172" s="0" t="n">
        <f aca="false">I172+L172</f>
        <v>239.329386981042</v>
      </c>
      <c r="N172" s="0" t="n">
        <f aca="false">J172+L172</f>
        <v>8595.99842924781</v>
      </c>
      <c r="O172" s="0" t="n">
        <f aca="false">(1.000001018*(1-K172*K172))/(1+K172*COS(RADIANS(N172)))</f>
        <v>0.987856091542296</v>
      </c>
      <c r="P172" s="0" t="n">
        <f aca="false">M172-0.00569-0.00478*SIN(RADIANS(125.04-1934.136*G172))</f>
        <v>239.320477665552</v>
      </c>
      <c r="Q172" s="0" t="n">
        <f aca="false">23+(26+((21.448-G172*(46.815+G172*(0.00059-G172*0.001813))))/60)/60</f>
        <v>23.4363145978213</v>
      </c>
      <c r="R172" s="0" t="n">
        <f aca="false">Q172+0.00256*COS(RADIANS(125.04-1934.136*G172))</f>
        <v>23.4382069241913</v>
      </c>
      <c r="S172" s="0" t="n">
        <f aca="false">DEGREES(ATAN2(COS(RADIANS(P172)),COS(RADIANS(R172))*SIN(RADIANS(P172))))</f>
        <v>-122.887786764704</v>
      </c>
      <c r="T172" s="0" t="n">
        <f aca="false">DEGREES(ASIN(SIN(RADIANS(R172))*SIN(RADIANS(P172))))</f>
        <v>-20.0040899219324</v>
      </c>
      <c r="U172" s="0" t="n">
        <f aca="false">TAN(RADIANS(R172/2))*TAN(RADIANS(R172/2))</f>
        <v>0.0430304349929135</v>
      </c>
      <c r="V172" s="0" t="n">
        <f aca="false">4*DEGREES(U172*SIN(2*RADIANS(I172))-2*K172*SIN(RADIANS(J172))+4*K172*U172*SIN(RADIANS(J172))*COS(2*RADIANS(I172))-0.5*U172*U172*SIN(4*RADIANS(I172))-1.25*K172*K172*SIN(2*RADIANS(J172)))</f>
        <v>14.1163253269131</v>
      </c>
      <c r="W172" s="0" t="n">
        <f aca="false">DEGREES(ACOS(COS(RADIANS(90.833))/(COS(RADIANS($B$3))*COS(RADIANS(T172)))-TAN(RADIANS($B$3))*TAN(RADIANS(T172))))</f>
        <v>43.4319079146893</v>
      </c>
      <c r="X172" s="7" t="n">
        <f aca="false">(720-4*$B$4-V172+$B$5*60)/1440</f>
        <v>0.499933107411866</v>
      </c>
      <c r="Y172" s="7" t="n">
        <f aca="false">X172-W172*4/1440</f>
        <v>0.379288918759951</v>
      </c>
      <c r="Z172" s="7" t="n">
        <f aca="false">X172+W172*4/1440</f>
        <v>0.620577296063781</v>
      </c>
      <c r="AA172" s="10" t="n">
        <f aca="false">8*W172</f>
        <v>347.455263317514</v>
      </c>
      <c r="AB172" s="0" t="n">
        <f aca="false">MOD(E172*1440+V172+4*$B$4-60*$B$5,1440)</f>
        <v>1026.09632532691</v>
      </c>
      <c r="AC172" s="0" t="n">
        <f aca="false">IF(AB172/4&lt;0,AB172/4+180,AB172/4-180)</f>
        <v>76.5240813317278</v>
      </c>
      <c r="AD172" s="0" t="n">
        <f aca="false">DEGREES(ACOS(SIN(RADIANS($B$3))*SIN(RADIANS(T172))+COS(RADIANS($B$3))*COS(RADIANS(T172))*COS(RADIANS(AC172))))</f>
        <v>102.373646983404</v>
      </c>
      <c r="AE172" s="0" t="n">
        <f aca="false">90-AD172</f>
        <v>-12.373646983404</v>
      </c>
      <c r="AF172" s="0" t="n">
        <f aca="false">IF(AE172&gt;85,0,IF(AE172&gt;5,58.1/TAN(RADIANS(AE172))-0.07/POWER(TAN(RADIANS(AE172)),3)+0.000086/POWER(TAN(RADIANS(AE172)),5),IF(AE172&gt;-0.575,1735+AE172*(-518.2+AE172*(103.4+AE172*(-12.79+AE172*0.711))),-20.772/TAN(RADIANS(AE172)))))/3600</f>
        <v>0.0263011398058069</v>
      </c>
      <c r="AG172" s="0" t="n">
        <f aca="false">AE172+AF172</f>
        <v>-12.3473458435982</v>
      </c>
      <c r="AH172" s="0" t="n">
        <f aca="false">IF(AC172&gt;0,MOD(DEGREES(ACOS(((SIN(RADIANS($B$3))*COS(RADIANS(AD172)))-SIN(RADIANS(T172)))/(COS(RADIANS($B$3))*SIN(RADIANS(AD172)))))+180,360),MOD(540-DEGREES(ACOS(((SIN(RADIANS($B$3))*COS(RADIANS(AD172)))-SIN(RADIANS(T172)))/(COS(RADIANS($B$3))*SIN(RADIANS(AD172))))),360))</f>
        <v>249.313722626086</v>
      </c>
    </row>
    <row r="173" customFormat="false" ht="15" hidden="false" customHeight="false" outlineLevel="0" collapsed="false">
      <c r="D173" s="6" t="n">
        <f aca="false">$B$7</f>
        <v>44886</v>
      </c>
      <c r="E173" s="7" t="n">
        <f aca="false">E172+0.1/24</f>
        <v>0.716666666666665</v>
      </c>
      <c r="F173" s="8" t="n">
        <f aca="false">D173+2415018.5+E173-$B$5/24</f>
        <v>2459905.175</v>
      </c>
      <c r="G173" s="9" t="n">
        <f aca="false">(F173-2451545)/36525</f>
        <v>0.228889117043129</v>
      </c>
      <c r="I173" s="0" t="n">
        <f aca="false">MOD(280.46646+G173*(36000.76983+G173*0.0003032),360)</f>
        <v>240.650895146327</v>
      </c>
      <c r="J173" s="0" t="n">
        <f aca="false">357.52911+G173*(35999.05029-0.0001537*G173)</f>
        <v>8597.31993721691</v>
      </c>
      <c r="K173" s="0" t="n">
        <f aca="false">0.016708634-G173*(0.000042037+0.0000001267*G173)</f>
        <v>0.016699005550345</v>
      </c>
      <c r="L173" s="0" t="n">
        <f aca="false">SIN(RADIANS(J173))*(1.914602-G173*(0.004817+0.000014*G173))+SIN(RADIANS(2*J173))*(0.019993-0.000101*G173)+SIN(RADIANS(3*J173))*0.000289</f>
        <v>-1.31730028519566</v>
      </c>
      <c r="M173" s="0" t="n">
        <f aca="false">I173+L173</f>
        <v>239.333594861132</v>
      </c>
      <c r="N173" s="0" t="n">
        <f aca="false">J173+L173</f>
        <v>8596.00263693172</v>
      </c>
      <c r="O173" s="0" t="n">
        <f aca="false">(1.000001018*(1-K173*K173))/(1+K173*COS(RADIANS(N173)))</f>
        <v>0.987855260000644</v>
      </c>
      <c r="P173" s="0" t="n">
        <f aca="false">M173-0.00569-0.00478*SIN(RADIANS(125.04-1934.136*G173))</f>
        <v>239.324685559248</v>
      </c>
      <c r="Q173" s="0" t="n">
        <f aca="false">23+(26+((21.448-G173*(46.815+G173*(0.00059-G173*0.001813))))/60)/60</f>
        <v>23.4363145963378</v>
      </c>
      <c r="R173" s="0" t="n">
        <f aca="false">Q173+0.00256*COS(RADIANS(125.04-1934.136*G173))</f>
        <v>23.4382069293473</v>
      </c>
      <c r="S173" s="0" t="n">
        <f aca="false">DEGREES(ATAN2(COS(RADIANS(P173)),COS(RADIANS(R173))*SIN(RADIANS(P173))))</f>
        <v>-122.883414371126</v>
      </c>
      <c r="T173" s="0" t="n">
        <f aca="false">DEGREES(ASIN(SIN(RADIANS(R173))*SIN(RADIANS(P173))))</f>
        <v>-20.0049987009363</v>
      </c>
      <c r="U173" s="0" t="n">
        <f aca="false">TAN(RADIANS(R173/2))*TAN(RADIANS(R173/2))</f>
        <v>0.0430304350123841</v>
      </c>
      <c r="V173" s="0" t="n">
        <f aca="false">4*DEGREES(U173*SIN(2*RADIANS(I173))-2*K173*SIN(RADIANS(J173))+4*K173*U173*SIN(RADIANS(J173))*COS(2*RADIANS(I173))-0.5*U173*U173*SIN(4*RADIANS(I173))-1.25*K173*K173*SIN(2*RADIANS(J173)))</f>
        <v>14.1152513462941</v>
      </c>
      <c r="W173" s="0" t="n">
        <f aca="false">DEGREES(ACOS(COS(RADIANS(90.833))/(COS(RADIANS($B$3))*COS(RADIANS(T173)))-TAN(RADIANS($B$3))*TAN(RADIANS(T173))))</f>
        <v>43.4287911990388</v>
      </c>
      <c r="X173" s="7" t="n">
        <f aca="false">(720-4*$B$4-V173+$B$5*60)/1440</f>
        <v>0.49993385323174</v>
      </c>
      <c r="Y173" s="7" t="n">
        <f aca="false">X173-W173*4/1440</f>
        <v>0.379298322123299</v>
      </c>
      <c r="Z173" s="7" t="n">
        <f aca="false">X173+W173*4/1440</f>
        <v>0.620569384340181</v>
      </c>
      <c r="AA173" s="10" t="n">
        <f aca="false">8*W173</f>
        <v>347.43032959231</v>
      </c>
      <c r="AB173" s="0" t="n">
        <f aca="false">MOD(E173*1440+V173+4*$B$4-60*$B$5,1440)</f>
        <v>1032.09525134629</v>
      </c>
      <c r="AC173" s="0" t="n">
        <f aca="false">IF(AB173/4&lt;0,AB173/4+180,AB173/4-180)</f>
        <v>78.0238128365731</v>
      </c>
      <c r="AD173" s="0" t="n">
        <f aca="false">DEGREES(ACOS(SIN(RADIANS($B$3))*SIN(RADIANS(T173))+COS(RADIANS($B$3))*COS(RADIANS(T173))*COS(RADIANS(AC173))))</f>
        <v>102.981787768556</v>
      </c>
      <c r="AE173" s="0" t="n">
        <f aca="false">90-AD173</f>
        <v>-12.9817877685557</v>
      </c>
      <c r="AF173" s="0" t="n">
        <f aca="false">IF(AE173&gt;85,0,IF(AE173&gt;5,58.1/TAN(RADIANS(AE173))-0.07/POWER(TAN(RADIANS(AE173)),3)+0.000086/POWER(TAN(RADIANS(AE173)),5),IF(AE173&gt;-0.575,1735+AE173*(-518.2+AE173*(103.4+AE173*(-12.79+AE173*0.711))),-20.772/TAN(RADIANS(AE173)))))/3600</f>
        <v>0.0250289101131485</v>
      </c>
      <c r="AG173" s="0" t="n">
        <f aca="false">AE173+AF173</f>
        <v>-12.9567588584425</v>
      </c>
      <c r="AH173" s="0" t="n">
        <f aca="false">IF(AC173&gt;0,MOD(DEGREES(ACOS(((SIN(RADIANS($B$3))*COS(RADIANS(AD173)))-SIN(RADIANS(T173)))/(COS(RADIANS($B$3))*SIN(RADIANS(AD173)))))+180,360),MOD(540-DEGREES(ACOS(((SIN(RADIANS($B$3))*COS(RADIANS(AD173)))-SIN(RADIANS(T173)))/(COS(RADIANS($B$3))*SIN(RADIANS(AD173))))),360))</f>
        <v>250.616768749922</v>
      </c>
    </row>
    <row r="174" customFormat="false" ht="15" hidden="false" customHeight="false" outlineLevel="0" collapsed="false">
      <c r="D174" s="6" t="n">
        <f aca="false">$B$7</f>
        <v>44886</v>
      </c>
      <c r="E174" s="7" t="n">
        <f aca="false">E173+0.1/24</f>
        <v>0.720833333333332</v>
      </c>
      <c r="F174" s="8" t="n">
        <f aca="false">D174+2415018.5+E174-$B$5/24</f>
        <v>2459905.17916667</v>
      </c>
      <c r="G174" s="9" t="n">
        <f aca="false">(F174-2451545)/36525</f>
        <v>0.228889231120238</v>
      </c>
      <c r="I174" s="0" t="n">
        <f aca="false">MOD(280.46646+G174*(36000.76983+G174*0.0003032),360)</f>
        <v>240.655002010097</v>
      </c>
      <c r="J174" s="0" t="n">
        <f aca="false">357.52911+G174*(35999.05029-0.0001537*G174)</f>
        <v>8597.3240438845</v>
      </c>
      <c r="K174" s="0" t="n">
        <f aca="false">0.016708634-G174*(0.000042037+0.0000001267*G174)</f>
        <v>0.0166990055455429</v>
      </c>
      <c r="L174" s="0" t="n">
        <f aca="false">SIN(RADIANS(J174))*(1.914602-G174*(0.004817+0.000014*G174))+SIN(RADIANS(2*J174))*(0.019993-0.000101*G174)+SIN(RADIANS(3*J174))*0.000289</f>
        <v>-1.3171992622651</v>
      </c>
      <c r="M174" s="0" t="n">
        <f aca="false">I174+L174</f>
        <v>239.337802747832</v>
      </c>
      <c r="N174" s="0" t="n">
        <f aca="false">J174+L174</f>
        <v>8596.00684462223</v>
      </c>
      <c r="O174" s="0" t="n">
        <f aca="false">(1.000001018*(1-K174*K174))/(1+K174*COS(RADIANS(N174)))</f>
        <v>0.987854428522325</v>
      </c>
      <c r="P174" s="0" t="n">
        <f aca="false">M174-0.00569-0.00478*SIN(RADIANS(125.04-1934.136*G174))</f>
        <v>239.328893459554</v>
      </c>
      <c r="Q174" s="0" t="n">
        <f aca="false">23+(26+((21.448-G174*(46.815+G174*(0.00059-G174*0.001813))))/60)/60</f>
        <v>23.4363145948543</v>
      </c>
      <c r="R174" s="0" t="n">
        <f aca="false">Q174+0.00256*COS(RADIANS(125.04-1934.136*G174))</f>
        <v>23.4382069345033</v>
      </c>
      <c r="S174" s="0" t="n">
        <f aca="false">DEGREES(ATAN2(COS(RADIANS(P174)),COS(RADIANS(R174))*SIN(RADIANS(P174))))</f>
        <v>-122.879041920185</v>
      </c>
      <c r="T174" s="0" t="n">
        <f aca="false">DEGREES(ASIN(SIN(RADIANS(R174))*SIN(RADIANS(P174))))</f>
        <v>-20.0059073741052</v>
      </c>
      <c r="U174" s="0" t="n">
        <f aca="false">TAN(RADIANS(R174/2))*TAN(RADIANS(R174/2))</f>
        <v>0.0430304350318546</v>
      </c>
      <c r="V174" s="0" t="n">
        <f aca="false">4*DEGREES(U174*SIN(2*RADIANS(I174))-2*K174*SIN(RADIANS(J174))+4*K174*U174*SIN(RADIANS(J174))*COS(2*RADIANS(I174))-0.5*U174*U174*SIN(4*RADIANS(I174))-1.25*K174*K174*SIN(2*RADIANS(J174)))</f>
        <v>14.114177134382</v>
      </c>
      <c r="W174" s="0" t="n">
        <f aca="false">DEGREES(ACOS(COS(RADIANS(90.833))/(COS(RADIANS($B$3))*COS(RADIANS(T174)))-TAN(RADIANS($B$3))*TAN(RADIANS(T174))))</f>
        <v>43.4256746320343</v>
      </c>
      <c r="X174" s="7" t="n">
        <f aca="false">(720-4*$B$4-V174+$B$5*60)/1440</f>
        <v>0.499934599212235</v>
      </c>
      <c r="Y174" s="7" t="n">
        <f aca="false">X174-W174*4/1440</f>
        <v>0.379307725234362</v>
      </c>
      <c r="Z174" s="7" t="n">
        <f aca="false">X174+W174*4/1440</f>
        <v>0.620561473190108</v>
      </c>
      <c r="AA174" s="10" t="n">
        <f aca="false">8*W174</f>
        <v>347.405397056275</v>
      </c>
      <c r="AB174" s="0" t="n">
        <f aca="false">MOD(E174*1440+V174+4*$B$4-60*$B$5,1440)</f>
        <v>1038.09417713438</v>
      </c>
      <c r="AC174" s="0" t="n">
        <f aca="false">IF(AB174/4&lt;0,AB174/4+180,AB174/4-180)</f>
        <v>79.5235442835951</v>
      </c>
      <c r="AD174" s="0" t="n">
        <f aca="false">DEGREES(ACOS(SIN(RADIANS($B$3))*SIN(RADIANS(T174))+COS(RADIANS($B$3))*COS(RADIANS(T174))*COS(RADIANS(AC174))))</f>
        <v>103.594807399045</v>
      </c>
      <c r="AE174" s="0" t="n">
        <f aca="false">90-AD174</f>
        <v>-13.5948073990453</v>
      </c>
      <c r="AF174" s="0" t="n">
        <f aca="false">IF(AE174&gt;85,0,IF(AE174&gt;5,58.1/TAN(RADIANS(AE174))-0.07/POWER(TAN(RADIANS(AE174)),3)+0.000086/POWER(TAN(RADIANS(AE174)),5),IF(AE174&gt;-0.575,1735+AE174*(-518.2+AE174*(103.4+AE174*(-12.79+AE174*0.711))),-20.772/TAN(RADIANS(AE174)))))/3600</f>
        <v>0.0238597824698141</v>
      </c>
      <c r="AG174" s="0" t="n">
        <f aca="false">AE174+AF174</f>
        <v>-13.5709476165755</v>
      </c>
      <c r="AH174" s="0" t="n">
        <f aca="false">IF(AC174&gt;0,MOD(DEGREES(ACOS(((SIN(RADIANS($B$3))*COS(RADIANS(AD174)))-SIN(RADIANS(T174)))/(COS(RADIANS($B$3))*SIN(RADIANS(AD174)))))+180,360),MOD(540-DEGREES(ACOS(((SIN(RADIANS($B$3))*COS(RADIANS(AD174)))-SIN(RADIANS(T174)))/(COS(RADIANS($B$3))*SIN(RADIANS(AD174))))),360))</f>
        <v>251.920601382485</v>
      </c>
    </row>
    <row r="175" customFormat="false" ht="15" hidden="false" customHeight="false" outlineLevel="0" collapsed="false">
      <c r="D175" s="6" t="n">
        <f aca="false">$B$7</f>
        <v>44886</v>
      </c>
      <c r="E175" s="7" t="n">
        <f aca="false">E174+0.1/24</f>
        <v>0.724999999999999</v>
      </c>
      <c r="F175" s="8" t="n">
        <f aca="false">D175+2415018.5+E175-$B$5/24</f>
        <v>2459905.18333333</v>
      </c>
      <c r="G175" s="9" t="n">
        <f aca="false">(F175-2451545)/36525</f>
        <v>0.22888934519736</v>
      </c>
      <c r="I175" s="0" t="n">
        <f aca="false">MOD(280.46646+G175*(36000.76983+G175*0.0003032),360)</f>
        <v>240.659108874328</v>
      </c>
      <c r="J175" s="0" t="n">
        <f aca="false">357.52911+G175*(35999.05029-0.0001537*G175)</f>
        <v>8597.32815055255</v>
      </c>
      <c r="K175" s="0" t="n">
        <f aca="false">0.016708634-G175*(0.000042037+0.0000001267*G175)</f>
        <v>0.0166990055407408</v>
      </c>
      <c r="L175" s="0" t="n">
        <f aca="false">SIN(RADIANS(J175))*(1.914602-G175*(0.004817+0.000014*G175))+SIN(RADIANS(2*J175))*(0.019993-0.000101*G175)+SIN(RADIANS(3*J175))*0.000289</f>
        <v>-1.31709823224032</v>
      </c>
      <c r="M175" s="0" t="n">
        <f aca="false">I175+L175</f>
        <v>239.342010642088</v>
      </c>
      <c r="N175" s="0" t="n">
        <f aca="false">J175+L175</f>
        <v>8596.0110523203</v>
      </c>
      <c r="O175" s="0" t="n">
        <f aca="false">(1.000001018*(1-K175*K175))/(1+K175*COS(RADIANS(N175)))</f>
        <v>0.98785359710716</v>
      </c>
      <c r="P175" s="0" t="n">
        <f aca="false">M175-0.00569-0.00478*SIN(RADIANS(125.04-1934.136*G175))</f>
        <v>239.333101367417</v>
      </c>
      <c r="Q175" s="0" t="n">
        <f aca="false">23+(26+((21.448-G175*(46.815+G175*(0.00059-G175*0.001813))))/60)/60</f>
        <v>23.4363145933708</v>
      </c>
      <c r="R175" s="0" t="n">
        <f aca="false">Q175+0.00256*COS(RADIANS(125.04-1934.136*G175))</f>
        <v>23.4382069396593</v>
      </c>
      <c r="S175" s="0" t="n">
        <f aca="false">DEGREES(ATAN2(COS(RADIANS(P175)),COS(RADIANS(R175))*SIN(RADIANS(P175))))</f>
        <v>-122.8746694109</v>
      </c>
      <c r="T175" s="0" t="n">
        <f aca="false">DEGREES(ASIN(SIN(RADIANS(R175))*SIN(RADIANS(P175))))</f>
        <v>-20.0068159416364</v>
      </c>
      <c r="U175" s="0" t="n">
        <f aca="false">TAN(RADIANS(R175/2))*TAN(RADIANS(R175/2))</f>
        <v>0.043030435051325</v>
      </c>
      <c r="V175" s="0" t="n">
        <f aca="false">4*DEGREES(U175*SIN(2*RADIANS(I175))-2*K175*SIN(RADIANS(J175))+4*K175*U175*SIN(RADIANS(J175))*COS(2*RADIANS(I175))-0.5*U175*U175*SIN(4*RADIANS(I175))-1.25*K175*K175*SIN(2*RADIANS(J175)))</f>
        <v>14.1131026909495</v>
      </c>
      <c r="W175" s="0" t="n">
        <f aca="false">DEGREES(ACOS(COS(RADIANS(90.833))/(COS(RADIANS($B$3))*COS(RADIANS(T175)))-TAN(RADIANS($B$3))*TAN(RADIANS(T175))))</f>
        <v>43.4225582130259</v>
      </c>
      <c r="X175" s="7" t="n">
        <f aca="false">(720-4*$B$4-V175+$B$5*60)/1440</f>
        <v>0.499935345353507</v>
      </c>
      <c r="Y175" s="7" t="n">
        <f aca="false">X175-W175*4/1440</f>
        <v>0.379317128095102</v>
      </c>
      <c r="Z175" s="7" t="n">
        <f aca="false">X175+W175*4/1440</f>
        <v>0.620553562611913</v>
      </c>
      <c r="AA175" s="10" t="n">
        <f aca="false">8*W175</f>
        <v>347.380465704207</v>
      </c>
      <c r="AB175" s="0" t="n">
        <f aca="false">MOD(E175*1440+V175+4*$B$4-60*$B$5,1440)</f>
        <v>1044.09310269095</v>
      </c>
      <c r="AC175" s="0" t="n">
        <f aca="false">IF(AB175/4&lt;0,AB175/4+180,AB175/4-180)</f>
        <v>81.0232756727369</v>
      </c>
      <c r="AD175" s="0" t="n">
        <f aca="false">DEGREES(ACOS(SIN(RADIANS($B$3))*SIN(RADIANS(T175))+COS(RADIANS($B$3))*COS(RADIANS(T175))*COS(RADIANS(AC175))))</f>
        <v>104.212392328262</v>
      </c>
      <c r="AE175" s="0" t="n">
        <f aca="false">90-AD175</f>
        <v>-14.2123923282618</v>
      </c>
      <c r="AF175" s="0" t="n">
        <f aca="false">IF(AE175&gt;85,0,IF(AE175&gt;5,58.1/TAN(RADIANS(AE175))-0.07/POWER(TAN(RADIANS(AE175)),3)+0.000086/POWER(TAN(RADIANS(AE175)),5),IF(AE175&gt;-0.575,1735+AE175*(-518.2+AE175*(103.4+AE175*(-12.79+AE175*0.711))),-20.772/TAN(RADIANS(AE175)))))/3600</f>
        <v>0.0227820968312669</v>
      </c>
      <c r="AG175" s="0" t="n">
        <f aca="false">AE175+AF175</f>
        <v>-14.1896102314306</v>
      </c>
      <c r="AH175" s="0" t="n">
        <f aca="false">IF(AC175&gt;0,MOD(DEGREES(ACOS(((SIN(RADIANS($B$3))*COS(RADIANS(AD175)))-SIN(RADIANS(T175)))/(COS(RADIANS($B$3))*SIN(RADIANS(AD175)))))+180,360),MOD(540-DEGREES(ACOS(((SIN(RADIANS($B$3))*COS(RADIANS(AD175)))-SIN(RADIANS(T175)))/(COS(RADIANS($B$3))*SIN(RADIANS(AD175))))),360))</f>
        <v>253.225533232847</v>
      </c>
    </row>
    <row r="176" customFormat="false" ht="15" hidden="false" customHeight="false" outlineLevel="0" collapsed="false">
      <c r="D176" s="6" t="n">
        <f aca="false">$B$7</f>
        <v>44886</v>
      </c>
      <c r="E176" s="7" t="n">
        <f aca="false">E175+0.1/24</f>
        <v>0.729166666666665</v>
      </c>
      <c r="F176" s="8" t="n">
        <f aca="false">D176+2415018.5+E176-$B$5/24</f>
        <v>2459905.1875</v>
      </c>
      <c r="G176" s="9" t="n">
        <f aca="false">(F176-2451545)/36525</f>
        <v>0.22888945927447</v>
      </c>
      <c r="I176" s="0" t="n">
        <f aca="false">MOD(280.46646+G176*(36000.76983+G176*0.0003032),360)</f>
        <v>240.663215738101</v>
      </c>
      <c r="J176" s="0" t="n">
        <f aca="false">357.52911+G176*(35999.05029-0.0001537*G176)</f>
        <v>8597.33225722013</v>
      </c>
      <c r="K176" s="0" t="n">
        <f aca="false">0.016708634-G176*(0.000042037+0.0000001267*G176)</f>
        <v>0.0166990055359388</v>
      </c>
      <c r="L176" s="0" t="n">
        <f aca="false">SIN(RADIANS(J176))*(1.914602-G176*(0.004817+0.000014*G176))+SIN(RADIANS(2*J176))*(0.019993-0.000101*G176)+SIN(RADIANS(3*J176))*0.000289</f>
        <v>-1.31699719514442</v>
      </c>
      <c r="M176" s="0" t="n">
        <f aca="false">I176+L176</f>
        <v>239.346218542957</v>
      </c>
      <c r="N176" s="0" t="n">
        <f aca="false">J176+L176</f>
        <v>8596.01526002499</v>
      </c>
      <c r="O176" s="0" t="n">
        <f aca="false">(1.000001018*(1-K176*K176))/(1+K176*COS(RADIANS(N176)))</f>
        <v>0.987852765755335</v>
      </c>
      <c r="P176" s="0" t="n">
        <f aca="false">M176-0.00569-0.00478*SIN(RADIANS(125.04-1934.136*G176))</f>
        <v>239.337309281893</v>
      </c>
      <c r="Q176" s="0" t="n">
        <f aca="false">23+(26+((21.448-G176*(46.815+G176*(0.00059-G176*0.001813))))/60)/60</f>
        <v>23.4363145918874</v>
      </c>
      <c r="R176" s="0" t="n">
        <f aca="false">Q176+0.00256*COS(RADIANS(125.04-1934.136*G176))</f>
        <v>23.4382069448153</v>
      </c>
      <c r="S176" s="0" t="n">
        <f aca="false">DEGREES(ATAN2(COS(RADIANS(P176)),COS(RADIANS(R176))*SIN(RADIANS(P176))))</f>
        <v>-122.870296844255</v>
      </c>
      <c r="T176" s="0" t="n">
        <f aca="false">DEGREES(ASIN(SIN(RADIANS(R176))*SIN(RADIANS(P176))))</f>
        <v>-20.007724403319</v>
      </c>
      <c r="U176" s="0" t="n">
        <f aca="false">TAN(RADIANS(R176/2))*TAN(RADIANS(R176/2))</f>
        <v>0.0430304350707954</v>
      </c>
      <c r="V176" s="0" t="n">
        <f aca="false">4*DEGREES(U176*SIN(2*RADIANS(I176))-2*K176*SIN(RADIANS(J176))+4*K176*U176*SIN(RADIANS(J176))*COS(2*RADIANS(I176))-0.5*U176*U176*SIN(4*RADIANS(I176))-1.25*K176*K176*SIN(2*RADIANS(J176)))</f>
        <v>14.1120280162513</v>
      </c>
      <c r="W176" s="0" t="n">
        <f aca="false">DEGREES(ACOS(COS(RADIANS(90.833))/(COS(RADIANS($B$3))*COS(RADIANS(T176)))-TAN(RADIANS($B$3))*TAN(RADIANS(T176))))</f>
        <v>43.419441942763</v>
      </c>
      <c r="X176" s="7" t="n">
        <f aca="false">(720-4*$B$4-V176+$B$5*60)/1440</f>
        <v>0.499936091655381</v>
      </c>
      <c r="Y176" s="7" t="n">
        <f aca="false">X176-W176*4/1440</f>
        <v>0.379326530703262</v>
      </c>
      <c r="Z176" s="7" t="n">
        <f aca="false">X176+W176*4/1440</f>
        <v>0.620545652607501</v>
      </c>
      <c r="AA176" s="10" t="n">
        <f aca="false">8*W176</f>
        <v>347.355535542104</v>
      </c>
      <c r="AB176" s="0" t="n">
        <f aca="false">MOD(E176*1440+V176+4*$B$4-60*$B$5,1440)</f>
        <v>1050.09202801625</v>
      </c>
      <c r="AC176" s="0" t="n">
        <f aca="false">IF(AB176/4&lt;0,AB176/4+180,AB176/4-180)</f>
        <v>82.5230070040623</v>
      </c>
      <c r="AD176" s="0" t="n">
        <f aca="false">DEGREES(ACOS(SIN(RADIANS($B$3))*SIN(RADIANS(T176))+COS(RADIANS($B$3))*COS(RADIANS(T176))*COS(RADIANS(AC176))))</f>
        <v>104.834226950002</v>
      </c>
      <c r="AE176" s="0" t="n">
        <f aca="false">90-AD176</f>
        <v>-14.8342269500024</v>
      </c>
      <c r="AF176" s="0" t="n">
        <f aca="false">IF(AE176&gt;85,0,IF(AE176&gt;5,58.1/TAN(RADIANS(AE176))-0.07/POWER(TAN(RADIANS(AE176)),3)+0.000086/POWER(TAN(RADIANS(AE176)),5),IF(AE176&gt;-0.575,1735+AE176*(-518.2+AE176*(103.4+AE176*(-12.79+AE176*0.711))),-20.772/TAN(RADIANS(AE176)))))/3600</f>
        <v>0.0217858695125066</v>
      </c>
      <c r="AG176" s="0" t="n">
        <f aca="false">AE176+AF176</f>
        <v>-14.8124410804899</v>
      </c>
      <c r="AH176" s="0" t="n">
        <f aca="false">IF(AC176&gt;0,MOD(DEGREES(ACOS(((SIN(RADIANS($B$3))*COS(RADIANS(AD176)))-SIN(RADIANS(T176)))/(COS(RADIANS($B$3))*SIN(RADIANS(AD176)))))+180,360),MOD(540-DEGREES(ACOS(((SIN(RADIANS($B$3))*COS(RADIANS(AD176)))-SIN(RADIANS(T176)))/(COS(RADIANS($B$3))*SIN(RADIANS(AD176))))),360))</f>
        <v>254.531886393946</v>
      </c>
    </row>
    <row r="177" customFormat="false" ht="15" hidden="false" customHeight="false" outlineLevel="0" collapsed="false">
      <c r="D177" s="6" t="n">
        <f aca="false">$B$7</f>
        <v>44886</v>
      </c>
      <c r="E177" s="7" t="n">
        <f aca="false">E176+0.1/24</f>
        <v>0.733333333333332</v>
      </c>
      <c r="F177" s="8" t="n">
        <f aca="false">D177+2415018.5+E177-$B$5/24</f>
        <v>2459905.19166667</v>
      </c>
      <c r="G177" s="9" t="n">
        <f aca="false">(F177-2451545)/36525</f>
        <v>0.228889573351592</v>
      </c>
      <c r="I177" s="0" t="n">
        <f aca="false">MOD(280.46646+G177*(36000.76983+G177*0.0003032),360)</f>
        <v>240.667322602332</v>
      </c>
      <c r="J177" s="0" t="n">
        <f aca="false">357.52911+G177*(35999.05029-0.0001537*G177)</f>
        <v>8597.33636388818</v>
      </c>
      <c r="K177" s="0" t="n">
        <f aca="false">0.016708634-G177*(0.000042037+0.0000001267*G177)</f>
        <v>0.0166990055311367</v>
      </c>
      <c r="L177" s="0" t="n">
        <f aca="false">SIN(RADIANS(J177))*(1.914602-G177*(0.004817+0.000014*G177))+SIN(RADIANS(2*J177))*(0.019993-0.000101*G177)+SIN(RADIANS(3*J177))*0.000289</f>
        <v>-1.3168961509555</v>
      </c>
      <c r="M177" s="0" t="n">
        <f aca="false">I177+L177</f>
        <v>239.350426451377</v>
      </c>
      <c r="N177" s="0" t="n">
        <f aca="false">J177+L177</f>
        <v>8596.01946773722</v>
      </c>
      <c r="O177" s="0" t="n">
        <f aca="false">(1.000001018*(1-K177*K177))/(1+K177*COS(RADIANS(N177)))</f>
        <v>0.987851934466674</v>
      </c>
      <c r="P177" s="0" t="n">
        <f aca="false">M177-0.00569-0.00478*SIN(RADIANS(125.04-1934.136*G177))</f>
        <v>239.341517203919</v>
      </c>
      <c r="Q177" s="0" t="n">
        <f aca="false">23+(26+((21.448-G177*(46.815+G177*(0.00059-G177*0.001813))))/60)/60</f>
        <v>23.4363145904039</v>
      </c>
      <c r="R177" s="0" t="n">
        <f aca="false">Q177+0.00256*COS(RADIANS(125.04-1934.136*G177))</f>
        <v>23.4382069499713</v>
      </c>
      <c r="S177" s="0" t="n">
        <f aca="false">DEGREES(ATAN2(COS(RADIANS(P177)),COS(RADIANS(R177))*SIN(RADIANS(P177))))</f>
        <v>-122.865924219276</v>
      </c>
      <c r="T177" s="0" t="n">
        <f aca="false">DEGREES(ASIN(SIN(RADIANS(R177))*SIN(RADIANS(P177))))</f>
        <v>-20.0086327593486</v>
      </c>
      <c r="U177" s="0" t="n">
        <f aca="false">TAN(RADIANS(R177/2))*TAN(RADIANS(R177/2))</f>
        <v>0.0430304350902655</v>
      </c>
      <c r="V177" s="0" t="n">
        <f aca="false">4*DEGREES(U177*SIN(2*RADIANS(I177))-2*K177*SIN(RADIANS(J177))+4*K177*U177*SIN(RADIANS(J177))*COS(2*RADIANS(I177))-0.5*U177*U177*SIN(4*RADIANS(I177))-1.25*K177*K177*SIN(2*RADIANS(J177)))</f>
        <v>14.1109531100621</v>
      </c>
      <c r="W177" s="0" t="n">
        <f aca="false">DEGREES(ACOS(COS(RADIANS(90.833))/(COS(RADIANS($B$3))*COS(RADIANS(T177)))-TAN(RADIANS($B$3))*TAN(RADIANS(T177))))</f>
        <v>43.4163258206013</v>
      </c>
      <c r="X177" s="7" t="n">
        <f aca="false">(720-4*$B$4-V177+$B$5*60)/1440</f>
        <v>0.499936838118012</v>
      </c>
      <c r="Y177" s="7" t="n">
        <f aca="false">X177-W177*4/1440</f>
        <v>0.379335933060787</v>
      </c>
      <c r="Z177" s="7" t="n">
        <f aca="false">X177+W177*4/1440</f>
        <v>0.620537743175238</v>
      </c>
      <c r="AA177" s="10" t="n">
        <f aca="false">8*W177</f>
        <v>347.33060656481</v>
      </c>
      <c r="AB177" s="0" t="n">
        <f aca="false">MOD(E177*1440+V177+4*$B$4-60*$B$5,1440)</f>
        <v>1056.09095311006</v>
      </c>
      <c r="AC177" s="0" t="n">
        <f aca="false">IF(AB177/4&lt;0,AB177/4+180,AB177/4-180)</f>
        <v>84.022738277515</v>
      </c>
      <c r="AD177" s="0" t="n">
        <f aca="false">DEGREES(ACOS(SIN(RADIANS($B$3))*SIN(RADIANS(T177))+COS(RADIANS($B$3))*COS(RADIANS(T177))*COS(RADIANS(AC177))))</f>
        <v>105.459993466532</v>
      </c>
      <c r="AE177" s="0" t="n">
        <f aca="false">90-AD177</f>
        <v>-15.4599934665323</v>
      </c>
      <c r="AF177" s="0" t="n">
        <f aca="false">IF(AE177&gt;85,0,IF(AE177&gt;5,58.1/TAN(RADIANS(AE177))-0.07/POWER(TAN(RADIANS(AE177)),3)+0.000086/POWER(TAN(RADIANS(AE177)),5),IF(AE177&gt;-0.575,1735+AE177*(-518.2+AE177*(103.4+AE177*(-12.79+AE177*0.711))),-20.772/TAN(RADIANS(AE177)))))/3600</f>
        <v>0.0208625041947877</v>
      </c>
      <c r="AG177" s="0" t="n">
        <f aca="false">AE177+AF177</f>
        <v>-15.4391309623375</v>
      </c>
      <c r="AH177" s="0" t="n">
        <f aca="false">IF(AC177&gt;0,MOD(DEGREES(ACOS(((SIN(RADIANS($B$3))*COS(RADIANS(AD177)))-SIN(RADIANS(T177)))/(COS(RADIANS($B$3))*SIN(RADIANS(AD177)))))+180,360),MOD(540-DEGREES(ACOS(((SIN(RADIANS($B$3))*COS(RADIANS(AD177)))-SIN(RADIANS(T177)))/(COS(RADIANS($B$3))*SIN(RADIANS(AD177))))),360))</f>
        <v>255.839992217924</v>
      </c>
    </row>
    <row r="178" customFormat="false" ht="15" hidden="false" customHeight="false" outlineLevel="0" collapsed="false">
      <c r="D178" s="6" t="n">
        <f aca="false">$B$7</f>
        <v>44886</v>
      </c>
      <c r="E178" s="7" t="n">
        <f aca="false">E177+0.1/24</f>
        <v>0.737499999999999</v>
      </c>
      <c r="F178" s="8" t="n">
        <f aca="false">D178+2415018.5+E178-$B$5/24</f>
        <v>2459905.19583333</v>
      </c>
      <c r="G178" s="9" t="n">
        <f aca="false">(F178-2451545)/36525</f>
        <v>0.228889687428701</v>
      </c>
      <c r="I178" s="0" t="n">
        <f aca="false">MOD(280.46646+G178*(36000.76983+G178*0.0003032),360)</f>
        <v>240.671429466101</v>
      </c>
      <c r="J178" s="0" t="n">
        <f aca="false">357.52911+G178*(35999.05029-0.0001537*G178)</f>
        <v>8597.34047055577</v>
      </c>
      <c r="K178" s="0" t="n">
        <f aca="false">0.016708634-G178*(0.000042037+0.0000001267*G178)</f>
        <v>0.0166990055263346</v>
      </c>
      <c r="L178" s="0" t="n">
        <f aca="false">SIN(RADIANS(J178))*(1.914602-G178*(0.004817+0.000014*G178))+SIN(RADIANS(2*J178))*(0.019993-0.000101*G178)+SIN(RADIANS(3*J178))*0.000289</f>
        <v>-1.31679509969647</v>
      </c>
      <c r="M178" s="0" t="n">
        <f aca="false">I178+L178</f>
        <v>239.354634366405</v>
      </c>
      <c r="N178" s="0" t="n">
        <f aca="false">J178+L178</f>
        <v>8596.02367545607</v>
      </c>
      <c r="O178" s="0" t="n">
        <f aca="false">(1.000001018*(1-K178*K178))/(1+K178*COS(RADIANS(N178)))</f>
        <v>0.987851103241363</v>
      </c>
      <c r="P178" s="0" t="n">
        <f aca="false">M178-0.00569-0.00478*SIN(RADIANS(125.04-1934.136*G178))</f>
        <v>239.345725132555</v>
      </c>
      <c r="Q178" s="0" t="n">
        <f aca="false">23+(26+((21.448-G178*(46.815+G178*(0.00059-G178*0.001813))))/60)/60</f>
        <v>23.4363145889204</v>
      </c>
      <c r="R178" s="0" t="n">
        <f aca="false">Q178+0.00256*COS(RADIANS(125.04-1934.136*G178))</f>
        <v>23.4382069551272</v>
      </c>
      <c r="S178" s="0" t="n">
        <f aca="false">DEGREES(ATAN2(COS(RADIANS(P178)),COS(RADIANS(R178))*SIN(RADIANS(P178))))</f>
        <v>-122.861551536946</v>
      </c>
      <c r="T178" s="0" t="n">
        <f aca="false">DEGREES(ASIN(SIN(RADIANS(R178))*SIN(RADIANS(P178))))</f>
        <v>-20.0095410095146</v>
      </c>
      <c r="U178" s="0" t="n">
        <f aca="false">TAN(RADIANS(R178/2))*TAN(RADIANS(R178/2))</f>
        <v>0.0430304351097357</v>
      </c>
      <c r="V178" s="0" t="n">
        <f aca="false">4*DEGREES(U178*SIN(2*RADIANS(I178))-2*K178*SIN(RADIANS(J178))+4*K178*U178*SIN(RADIANS(J178))*COS(2*RADIANS(I178))-0.5*U178*U178*SIN(4*RADIANS(I178))-1.25*K178*K178*SIN(2*RADIANS(J178)))</f>
        <v>14.109877972636</v>
      </c>
      <c r="W178" s="0" t="n">
        <f aca="false">DEGREES(ACOS(COS(RADIANS(90.833))/(COS(RADIANS($B$3))*COS(RADIANS(T178)))-TAN(RADIANS($B$3))*TAN(RADIANS(T178))))</f>
        <v>43.4132098472899</v>
      </c>
      <c r="X178" s="7" t="n">
        <f aca="false">(720-4*$B$4-V178+$B$5*60)/1440</f>
        <v>0.499937584741225</v>
      </c>
      <c r="Y178" s="7" t="n">
        <f aca="false">X178-W178*4/1440</f>
        <v>0.37934533516542</v>
      </c>
      <c r="Z178" s="7" t="n">
        <f aca="false">X178+W178*4/1440</f>
        <v>0.62052983431703</v>
      </c>
      <c r="AA178" s="10" t="n">
        <f aca="false">8*W178</f>
        <v>347.305678778319</v>
      </c>
      <c r="AB178" s="0" t="n">
        <f aca="false">MOD(E178*1440+V178+4*$B$4-60*$B$5,1440)</f>
        <v>1062.08987797263</v>
      </c>
      <c r="AC178" s="0" t="n">
        <f aca="false">IF(AB178/4&lt;0,AB178/4+180,AB178/4-180)</f>
        <v>85.5224694931585</v>
      </c>
      <c r="AD178" s="0" t="n">
        <f aca="false">DEGREES(ACOS(SIN(RADIANS($B$3))*SIN(RADIANS(T178))+COS(RADIANS($B$3))*COS(RADIANS(T178))*COS(RADIANS(AC178))))</f>
        <v>106.089371740112</v>
      </c>
      <c r="AE178" s="0" t="n">
        <f aca="false">90-AD178</f>
        <v>-16.0893717401118</v>
      </c>
      <c r="AF178" s="0" t="n">
        <f aca="false">IF(AE178&gt;85,0,IF(AE178&gt;5,58.1/TAN(RADIANS(AE178))-0.07/POWER(TAN(RADIANS(AE178)),3)+0.000086/POWER(TAN(RADIANS(AE178)),5),IF(AE178&gt;-0.575,1735+AE178*(-518.2+AE178*(103.4+AE178*(-12.79+AE178*0.711))),-20.772/TAN(RADIANS(AE178)))))/3600</f>
        <v>0.0200045606590756</v>
      </c>
      <c r="AG178" s="0" t="n">
        <f aca="false">AE178+AF178</f>
        <v>-16.0693671794527</v>
      </c>
      <c r="AH178" s="0" t="n">
        <f aca="false">IF(AC178&gt;0,MOD(DEGREES(ACOS(((SIN(RADIANS($B$3))*COS(RADIANS(AD178)))-SIN(RADIANS(T178)))/(COS(RADIANS($B$3))*SIN(RADIANS(AD178)))))+180,360),MOD(540-DEGREES(ACOS(((SIN(RADIANS($B$3))*COS(RADIANS(AD178)))-SIN(RADIANS(T178)))/(COS(RADIANS($B$3))*SIN(RADIANS(AD178))))),360))</f>
        <v>257.150191193323</v>
      </c>
    </row>
    <row r="179" customFormat="false" ht="15" hidden="false" customHeight="false" outlineLevel="0" collapsed="false">
      <c r="D179" s="6" t="n">
        <f aca="false">$B$7</f>
        <v>44886</v>
      </c>
      <c r="E179" s="7" t="n">
        <f aca="false">E178+0.1/24</f>
        <v>0.741666666666665</v>
      </c>
      <c r="F179" s="8" t="n">
        <f aca="false">D179+2415018.5+E179-$B$5/24</f>
        <v>2459905.2</v>
      </c>
      <c r="G179" s="9" t="n">
        <f aca="false">(F179-2451545)/36525</f>
        <v>0.228889801505823</v>
      </c>
      <c r="I179" s="0" t="n">
        <f aca="false">MOD(280.46646+G179*(36000.76983+G179*0.0003032),360)</f>
        <v>240.675536330333</v>
      </c>
      <c r="J179" s="0" t="n">
        <f aca="false">357.52911+G179*(35999.05029-0.0001537*G179)</f>
        <v>8597.34457722381</v>
      </c>
      <c r="K179" s="0" t="n">
        <f aca="false">0.016708634-G179*(0.000042037+0.0000001267*G179)</f>
        <v>0.0166990055215325</v>
      </c>
      <c r="L179" s="0" t="n">
        <f aca="false">SIN(RADIANS(J179))*(1.914602-G179*(0.004817+0.000014*G179))+SIN(RADIANS(2*J179))*(0.019993-0.000101*G179)+SIN(RADIANS(3*J179))*0.000289</f>
        <v>-1.31669404134534</v>
      </c>
      <c r="M179" s="0" t="n">
        <f aca="false">I179+L179</f>
        <v>239.358842288987</v>
      </c>
      <c r="N179" s="0" t="n">
        <f aca="false">J179+L179</f>
        <v>8596.02788318247</v>
      </c>
      <c r="O179" s="0" t="n">
        <f aca="false">(1.000001018*(1-K179*K179))/(1+K179*COS(RADIANS(N179)))</f>
        <v>0.987850272079224</v>
      </c>
      <c r="P179" s="0" t="n">
        <f aca="false">M179-0.00569-0.00478*SIN(RADIANS(125.04-1934.136*G179))</f>
        <v>239.349933068744</v>
      </c>
      <c r="Q179" s="0" t="n">
        <f aca="false">23+(26+((21.448-G179*(46.815+G179*(0.00059-G179*0.001813))))/60)/60</f>
        <v>23.4363145874369</v>
      </c>
      <c r="R179" s="0" t="n">
        <f aca="false">Q179+0.00256*COS(RADIANS(125.04-1934.136*G179))</f>
        <v>23.4382069602831</v>
      </c>
      <c r="S179" s="0" t="n">
        <f aca="false">DEGREES(ATAN2(COS(RADIANS(P179)),COS(RADIANS(R179))*SIN(RADIANS(P179))))</f>
        <v>-122.857178796286</v>
      </c>
      <c r="T179" s="0" t="n">
        <f aca="false">DEGREES(ASIN(SIN(RADIANS(R179))*SIN(RADIANS(P179))))</f>
        <v>-20.010449154014</v>
      </c>
      <c r="U179" s="0" t="n">
        <f aca="false">TAN(RADIANS(R179/2))*TAN(RADIANS(R179/2))</f>
        <v>0.0430304351292056</v>
      </c>
      <c r="V179" s="0" t="n">
        <f aca="false">4*DEGREES(U179*SIN(2*RADIANS(I179))-2*K179*SIN(RADIANS(J179))+4*K179*U179*SIN(RADIANS(J179))*COS(2*RADIANS(I179))-0.5*U179*U179*SIN(4*RADIANS(I179))-1.25*K179*K179*SIN(2*RADIANS(J179)))</f>
        <v>14.108802603746</v>
      </c>
      <c r="W179" s="0" t="n">
        <f aca="false">DEGREES(ACOS(COS(RADIANS(90.833))/(COS(RADIANS($B$3))*COS(RADIANS(T179)))-TAN(RADIANS($B$3))*TAN(RADIANS(T179))))</f>
        <v>43.4100940221793</v>
      </c>
      <c r="X179" s="7" t="n">
        <f aca="false">(720-4*$B$4-V179+$B$5*60)/1440</f>
        <v>0.499938331525176</v>
      </c>
      <c r="Y179" s="7" t="n">
        <f aca="false">X179-W179*4/1440</f>
        <v>0.379354737019123</v>
      </c>
      <c r="Z179" s="7" t="n">
        <f aca="false">X179+W179*4/1440</f>
        <v>0.62052192603123</v>
      </c>
      <c r="AA179" s="10" t="n">
        <f aca="false">8*W179</f>
        <v>347.280752177434</v>
      </c>
      <c r="AB179" s="0" t="n">
        <f aca="false">MOD(E179*1440+V179+4*$B$4-60*$B$5,1440)</f>
        <v>1068.08880260374</v>
      </c>
      <c r="AC179" s="0" t="n">
        <f aca="false">IF(AB179/4&lt;0,AB179/4+180,AB179/4-180)</f>
        <v>87.022200650936</v>
      </c>
      <c r="AD179" s="0" t="n">
        <f aca="false">DEGREES(ACOS(SIN(RADIANS($B$3))*SIN(RADIANS(T179))+COS(RADIANS($B$3))*COS(RADIANS(T179))*COS(RADIANS(AC179))))</f>
        <v>106.722039130979</v>
      </c>
      <c r="AE179" s="0" t="n">
        <f aca="false">90-AD179</f>
        <v>-16.7220391309788</v>
      </c>
      <c r="AF179" s="0" t="n">
        <f aca="false">IF(AE179&gt;85,0,IF(AE179&gt;5,58.1/TAN(RADIANS(AE179))-0.07/POWER(TAN(RADIANS(AE179)),3)+0.000086/POWER(TAN(RADIANS(AE179)),5),IF(AE179&gt;-0.575,1735+AE179*(-518.2+AE179*(103.4+AE179*(-12.79+AE179*0.711))),-20.772/TAN(RADIANS(AE179)))))/3600</f>
        <v>0.0192055682317673</v>
      </c>
      <c r="AG179" s="0" t="n">
        <f aca="false">AE179+AF179</f>
        <v>-16.702833562747</v>
      </c>
      <c r="AH179" s="0" t="n">
        <f aca="false">IF(AC179&gt;0,MOD(DEGREES(ACOS(((SIN(RADIANS($B$3))*COS(RADIANS(AD179)))-SIN(RADIANS(T179)))/(COS(RADIANS($B$3))*SIN(RADIANS(AD179)))))+180,360),MOD(540-DEGREES(ACOS(((SIN(RADIANS($B$3))*COS(RADIANS(AD179)))-SIN(RADIANS(T179)))/(COS(RADIANS($B$3))*SIN(RADIANS(AD179))))),360))</f>
        <v>258.462832820091</v>
      </c>
    </row>
    <row r="180" customFormat="false" ht="15" hidden="false" customHeight="false" outlineLevel="0" collapsed="false">
      <c r="D180" s="6" t="n">
        <f aca="false">$B$7</f>
        <v>44886</v>
      </c>
      <c r="E180" s="7" t="n">
        <f aca="false">E179+0.1/24</f>
        <v>0.745833333333332</v>
      </c>
      <c r="F180" s="8" t="n">
        <f aca="false">D180+2415018.5+E180-$B$5/24</f>
        <v>2459905.20416667</v>
      </c>
      <c r="G180" s="9" t="n">
        <f aca="false">(F180-2451545)/36525</f>
        <v>0.228889915582932</v>
      </c>
      <c r="I180" s="0" t="n">
        <f aca="false">MOD(280.46646+G180*(36000.76983+G180*0.0003032),360)</f>
        <v>240.679643194106</v>
      </c>
      <c r="J180" s="0" t="n">
        <f aca="false">357.52911+G180*(35999.05029-0.0001537*G180)</f>
        <v>8597.3486838914</v>
      </c>
      <c r="K180" s="0" t="n">
        <f aca="false">0.016708634-G180*(0.000042037+0.0000001267*G180)</f>
        <v>0.0166990055167305</v>
      </c>
      <c r="L180" s="0" t="n">
        <f aca="false">SIN(RADIANS(J180))*(1.914602-G180*(0.004817+0.000014*G180))+SIN(RADIANS(2*J180))*(0.019993-0.000101*G180)+SIN(RADIANS(3*J180))*0.000289</f>
        <v>-1.31659297592526</v>
      </c>
      <c r="M180" s="0" t="n">
        <f aca="false">I180+L180</f>
        <v>239.36305021818</v>
      </c>
      <c r="N180" s="0" t="n">
        <f aca="false">J180+L180</f>
        <v>8596.03209091548</v>
      </c>
      <c r="O180" s="0" t="n">
        <f aca="false">(1.000001018*(1-K180*K180))/(1+K180*COS(RADIANS(N180)))</f>
        <v>0.987849440980446</v>
      </c>
      <c r="P180" s="0" t="n">
        <f aca="false">M180-0.00569-0.00478*SIN(RADIANS(125.04-1934.136*G180))</f>
        <v>239.354141011544</v>
      </c>
      <c r="Q180" s="0" t="n">
        <f aca="false">23+(26+((21.448-G180*(46.815+G180*(0.00059-G180*0.001813))))/60)/60</f>
        <v>23.4363145859535</v>
      </c>
      <c r="R180" s="0" t="n">
        <f aca="false">Q180+0.00256*COS(RADIANS(125.04-1934.136*G180))</f>
        <v>23.4382069654389</v>
      </c>
      <c r="S180" s="0" t="n">
        <f aca="false">DEGREES(ATAN2(COS(RADIANS(P180)),COS(RADIANS(R180))*SIN(RADIANS(P180))))</f>
        <v>-122.852805998277</v>
      </c>
      <c r="T180" s="0" t="n">
        <f aca="false">DEGREES(ASIN(SIN(RADIANS(R180))*SIN(RADIANS(P180))))</f>
        <v>-20.0113571926362</v>
      </c>
      <c r="U180" s="0" t="n">
        <f aca="false">TAN(RADIANS(R180/2))*TAN(RADIANS(R180/2))</f>
        <v>0.0430304351486755</v>
      </c>
      <c r="V180" s="0" t="n">
        <f aca="false">4*DEGREES(U180*SIN(2*RADIANS(I180))-2*K180*SIN(RADIANS(J180))+4*K180*U180*SIN(RADIANS(J180))*COS(2*RADIANS(I180))-0.5*U180*U180*SIN(4*RADIANS(I180))-1.25*K180*K180*SIN(2*RADIANS(J180)))</f>
        <v>14.1077270036474</v>
      </c>
      <c r="W180" s="0" t="n">
        <f aca="false">DEGREES(ACOS(COS(RADIANS(90.833))/(COS(RADIANS($B$3))*COS(RADIANS(T180)))-TAN(RADIANS($B$3))*TAN(RADIANS(T180))))</f>
        <v>43.4069783460188</v>
      </c>
      <c r="X180" s="7" t="n">
        <f aca="false">(720-4*$B$4-V180+$B$5*60)/1440</f>
        <v>0.499939078469689</v>
      </c>
      <c r="Y180" s="7" t="n">
        <f aca="false">X180-W180*4/1440</f>
        <v>0.379364138619637</v>
      </c>
      <c r="Z180" s="7" t="n">
        <f aca="false">X180+W180*4/1440</f>
        <v>0.620514018319742</v>
      </c>
      <c r="AA180" s="10" t="n">
        <f aca="false">8*W180</f>
        <v>347.255826768151</v>
      </c>
      <c r="AB180" s="0" t="n">
        <f aca="false">MOD(E180*1440+V180+4*$B$4-60*$B$5,1440)</f>
        <v>1074.08772700365</v>
      </c>
      <c r="AC180" s="0" t="n">
        <f aca="false">IF(AB180/4&lt;0,AB180/4+180,AB180/4-180)</f>
        <v>88.5219317509113</v>
      </c>
      <c r="AD180" s="0" t="n">
        <f aca="false">DEGREES(ACOS(SIN(RADIANS($B$3))*SIN(RADIANS(T180))+COS(RADIANS($B$3))*COS(RADIANS(T180))*COS(RADIANS(AC180))))</f>
        <v>107.357670319762</v>
      </c>
      <c r="AE180" s="0" t="n">
        <f aca="false">90-AD180</f>
        <v>-17.3576703197622</v>
      </c>
      <c r="AF180" s="0" t="n">
        <f aca="false">IF(AE180&gt;85,0,IF(AE180&gt;5,58.1/TAN(RADIANS(AE180))-0.07/POWER(TAN(RADIANS(AE180)),3)+0.000086/POWER(TAN(RADIANS(AE180)),5),IF(AE180&gt;-0.575,1735+AE180*(-518.2+AE180*(103.4+AE180*(-12.79+AE180*0.711))),-20.772/TAN(RADIANS(AE180)))))/3600</f>
        <v>0.0184598741822857</v>
      </c>
      <c r="AG180" s="0" t="n">
        <f aca="false">AE180+AF180</f>
        <v>-17.3392104455799</v>
      </c>
      <c r="AH180" s="0" t="n">
        <f aca="false">IF(AC180&gt;0,MOD(DEGREES(ACOS(((SIN(RADIANS($B$3))*COS(RADIANS(AD180)))-SIN(RADIANS(T180)))/(COS(RADIANS($B$3))*SIN(RADIANS(AD180)))))+180,360),MOD(540-DEGREES(ACOS(((SIN(RADIANS($B$3))*COS(RADIANS(AD180)))-SIN(RADIANS(T180)))/(COS(RADIANS($B$3))*SIN(RADIANS(AD180))))),360))</f>
        <v>259.778275482764</v>
      </c>
    </row>
    <row r="181" customFormat="false" ht="15" hidden="false" customHeight="false" outlineLevel="0" collapsed="false">
      <c r="D181" s="6" t="n">
        <f aca="false">$B$7</f>
        <v>44886</v>
      </c>
      <c r="E181" s="7" t="n">
        <f aca="false">E180+0.1/24</f>
        <v>0.749999999999999</v>
      </c>
      <c r="F181" s="8" t="n">
        <f aca="false">D181+2415018.5+E181-$B$5/24</f>
        <v>2459905.20833333</v>
      </c>
      <c r="G181" s="9" t="n">
        <f aca="false">(F181-2451545)/36525</f>
        <v>0.228890029660054</v>
      </c>
      <c r="I181" s="0" t="n">
        <f aca="false">MOD(280.46646+G181*(36000.76983+G181*0.0003032),360)</f>
        <v>240.683750058337</v>
      </c>
      <c r="J181" s="0" t="n">
        <f aca="false">357.52911+G181*(35999.05029-0.0001537*G181)</f>
        <v>8597.35279055945</v>
      </c>
      <c r="K181" s="0" t="n">
        <f aca="false">0.016708634-G181*(0.000042037+0.0000001267*G181)</f>
        <v>0.0166990055119284</v>
      </c>
      <c r="L181" s="0" t="n">
        <f aca="false">SIN(RADIANS(J181))*(1.914602-G181*(0.004817+0.000014*G181))+SIN(RADIANS(2*J181))*(0.019993-0.000101*G181)+SIN(RADIANS(3*J181))*0.000289</f>
        <v>-1.31649190341408</v>
      </c>
      <c r="M181" s="0" t="n">
        <f aca="false">I181+L181</f>
        <v>239.367258154923</v>
      </c>
      <c r="N181" s="0" t="n">
        <f aca="false">J181+L181</f>
        <v>8596.03629865604</v>
      </c>
      <c r="O181" s="0" t="n">
        <f aca="false">(1.000001018*(1-K181*K181))/(1+K181*COS(RADIANS(N181)))</f>
        <v>0.987848609944847</v>
      </c>
      <c r="P181" s="0" t="n">
        <f aca="false">M181-0.00569-0.00478*SIN(RADIANS(125.04-1934.136*G181))</f>
        <v>239.358348961893</v>
      </c>
      <c r="Q181" s="0" t="n">
        <f aca="false">23+(26+((21.448-G181*(46.815+G181*(0.00059-G181*0.001813))))/60)/60</f>
        <v>23.43631458447</v>
      </c>
      <c r="R181" s="0" t="n">
        <f aca="false">Q181+0.00256*COS(RADIANS(125.04-1934.136*G181))</f>
        <v>23.4382069705948</v>
      </c>
      <c r="S181" s="0" t="n">
        <f aca="false">DEGREES(ATAN2(COS(RADIANS(P181)),COS(RADIANS(R181))*SIN(RADIANS(P181))))</f>
        <v>-122.848433141948</v>
      </c>
      <c r="T181" s="0" t="n">
        <f aca="false">DEGREES(ASIN(SIN(RADIANS(R181))*SIN(RADIANS(P181))))</f>
        <v>-20.0122651255766</v>
      </c>
      <c r="U181" s="0" t="n">
        <f aca="false">TAN(RADIANS(R181/2))*TAN(RADIANS(R181/2))</f>
        <v>0.0430304351681453</v>
      </c>
      <c r="V181" s="0" t="n">
        <f aca="false">4*DEGREES(U181*SIN(2*RADIANS(I181))-2*K181*SIN(RADIANS(J181))+4*K181*U181*SIN(RADIANS(J181))*COS(2*RADIANS(I181))-0.5*U181*U181*SIN(4*RADIANS(I181))-1.25*K181*K181*SIN(2*RADIANS(J181)))</f>
        <v>14.1066511721137</v>
      </c>
      <c r="W181" s="0" t="n">
        <f aca="false">DEGREES(ACOS(COS(RADIANS(90.833))/(COS(RADIANS($B$3))*COS(RADIANS(T181)))-TAN(RADIANS($B$3))*TAN(RADIANS(T181))))</f>
        <v>43.4038628181642</v>
      </c>
      <c r="X181" s="7" t="n">
        <f aca="false">(720-4*$B$4-V181+$B$5*60)/1440</f>
        <v>0.499939825574921</v>
      </c>
      <c r="Y181" s="7" t="n">
        <f aca="false">X181-W181*4/1440</f>
        <v>0.379373539968909</v>
      </c>
      <c r="Z181" s="7" t="n">
        <f aca="false">X181+W181*4/1440</f>
        <v>0.620506111180933</v>
      </c>
      <c r="AA181" s="10" t="n">
        <f aca="false">8*W181</f>
        <v>347.230902545314</v>
      </c>
      <c r="AB181" s="0" t="n">
        <f aca="false">MOD(E181*1440+V181+4*$B$4-60*$B$5,1440)</f>
        <v>1080.08665117211</v>
      </c>
      <c r="AC181" s="0" t="n">
        <f aca="false">IF(AB181/4&lt;0,AB181/4+180,AB181/4-180)</f>
        <v>90.0216627930279</v>
      </c>
      <c r="AD181" s="0" t="n">
        <f aca="false">DEGREES(ACOS(SIN(RADIANS($B$3))*SIN(RADIANS(T181))+COS(RADIANS($B$3))*COS(RADIANS(T181))*COS(RADIANS(AC181))))</f>
        <v>107.995937117372</v>
      </c>
      <c r="AE181" s="0" t="n">
        <f aca="false">90-AD181</f>
        <v>-17.9959371173715</v>
      </c>
      <c r="AF181" s="0" t="n">
        <f aca="false">IF(AE181&gt;85,0,IF(AE181&gt;5,58.1/TAN(RADIANS(AE181))-0.07/POWER(TAN(RADIANS(AE181)),3)+0.000086/POWER(TAN(RADIANS(AE181)),5),IF(AE181&gt;-0.575,1735+AE181*(-518.2+AE181*(103.4+AE181*(-12.79+AE181*0.711))),-20.772/TAN(RADIANS(AE181)))))/3600</f>
        <v>0.017762519667597</v>
      </c>
      <c r="AG181" s="0" t="n">
        <f aca="false">AE181+AF181</f>
        <v>-17.9781745977039</v>
      </c>
      <c r="AH181" s="0" t="n">
        <f aca="false">IF(AC181&gt;0,MOD(DEGREES(ACOS(((SIN(RADIANS($B$3))*COS(RADIANS(AD181)))-SIN(RADIANS(T181)))/(COS(RADIANS($B$3))*SIN(RADIANS(AD181)))))+180,360),MOD(540-DEGREES(ACOS(((SIN(RADIANS($B$3))*COS(RADIANS(AD181)))-SIN(RADIANS(T181)))/(COS(RADIANS($B$3))*SIN(RADIANS(AD181))))),360))</f>
        <v>261.096886317163</v>
      </c>
    </row>
    <row r="182" customFormat="false" ht="15" hidden="false" customHeight="false" outlineLevel="0" collapsed="false">
      <c r="D182" s="6" t="n">
        <f aca="false">$B$7</f>
        <v>44886</v>
      </c>
      <c r="E182" s="7" t="n">
        <f aca="false">E181+0.1/24</f>
        <v>0.754166666666665</v>
      </c>
      <c r="F182" s="8" t="n">
        <f aca="false">D182+2415018.5+E182-$B$5/24</f>
        <v>2459905.2125</v>
      </c>
      <c r="G182" s="9" t="n">
        <f aca="false">(F182-2451545)/36525</f>
        <v>0.228890143737177</v>
      </c>
      <c r="I182" s="0" t="n">
        <f aca="false">MOD(280.46646+G182*(36000.76983+G182*0.0003032),360)</f>
        <v>240.687856922566</v>
      </c>
      <c r="J182" s="0" t="n">
        <f aca="false">357.52911+G182*(35999.05029-0.0001537*G182)</f>
        <v>8597.3568972275</v>
      </c>
      <c r="K182" s="0" t="n">
        <f aca="false">0.016708634-G182*(0.000042037+0.0000001267*G182)</f>
        <v>0.0166990055071263</v>
      </c>
      <c r="L182" s="0" t="n">
        <f aca="false">SIN(RADIANS(J182))*(1.914602-G182*(0.004817+0.000014*G182))+SIN(RADIANS(2*J182))*(0.019993-0.000101*G182)+SIN(RADIANS(3*J182))*0.000289</f>
        <v>-1.31639082382361</v>
      </c>
      <c r="M182" s="0" t="n">
        <f aca="false">I182+L182</f>
        <v>239.371466098743</v>
      </c>
      <c r="N182" s="0" t="n">
        <f aca="false">J182+L182</f>
        <v>8596.04050640367</v>
      </c>
      <c r="O182" s="0" t="n">
        <f aca="false">(1.000001018*(1-K182*K182))/(1+K182*COS(RADIANS(N182)))</f>
        <v>0.987847778972526</v>
      </c>
      <c r="P182" s="0" t="n">
        <f aca="false">M182-0.00569-0.00478*SIN(RADIANS(125.04-1934.136*G182))</f>
        <v>239.36255691932</v>
      </c>
      <c r="Q182" s="0" t="n">
        <f aca="false">23+(26+((21.448-G182*(46.815+G182*(0.00059-G182*0.001813))))/60)/60</f>
        <v>23.4363145829865</v>
      </c>
      <c r="R182" s="0" t="n">
        <f aca="false">Q182+0.00256*COS(RADIANS(125.04-1934.136*G182))</f>
        <v>23.4382069757506</v>
      </c>
      <c r="S182" s="0" t="n">
        <f aca="false">DEGREES(ATAN2(COS(RADIANS(P182)),COS(RADIANS(R182))*SIN(RADIANS(P182))))</f>
        <v>-122.844060227791</v>
      </c>
      <c r="T182" s="0" t="n">
        <f aca="false">DEGREES(ASIN(SIN(RADIANS(R182))*SIN(RADIANS(P182))))</f>
        <v>-20.0131729527264</v>
      </c>
      <c r="U182" s="0" t="n">
        <f aca="false">TAN(RADIANS(R182/2))*TAN(RADIANS(R182/2))</f>
        <v>0.0430304351876149</v>
      </c>
      <c r="V182" s="0" t="n">
        <f aca="false">4*DEGREES(U182*SIN(2*RADIANS(I182))-2*K182*SIN(RADIANS(J182))+4*K182*U182*SIN(RADIANS(J182))*COS(2*RADIANS(I182))-0.5*U182*U182*SIN(4*RADIANS(I182))-1.25*K182*K182*SIN(2*RADIANS(J182)))</f>
        <v>14.1055751092794</v>
      </c>
      <c r="W182" s="0" t="n">
        <f aca="false">DEGREES(ACOS(COS(RADIANS(90.833))/(COS(RADIANS($B$3))*COS(RADIANS(T182)))-TAN(RADIANS($B$3))*TAN(RADIANS(T182))))</f>
        <v>43.4007474390156</v>
      </c>
      <c r="X182" s="7" t="n">
        <f aca="false">(720-4*$B$4-V182+$B$5*60)/1440</f>
        <v>0.499940572840778</v>
      </c>
      <c r="Y182" s="7" t="n">
        <f aca="false">X182-W182*4/1440</f>
        <v>0.379382941065735</v>
      </c>
      <c r="Z182" s="7" t="n">
        <f aca="false">X182+W182*4/1440</f>
        <v>0.620498204615821</v>
      </c>
      <c r="AA182" s="10" t="n">
        <f aca="false">8*W182</f>
        <v>347.205979512125</v>
      </c>
      <c r="AB182" s="0" t="n">
        <f aca="false">MOD(E182*1440+V182+4*$B$4-60*$B$5,1440)</f>
        <v>1086.08557510928</v>
      </c>
      <c r="AC182" s="0" t="n">
        <f aca="false">IF(AB182/4&lt;0,AB182/4+180,AB182/4-180)</f>
        <v>91.5213937773194</v>
      </c>
      <c r="AD182" s="0" t="n">
        <f aca="false">DEGREES(ACOS(SIN(RADIANS($B$3))*SIN(RADIANS(T182))+COS(RADIANS($B$3))*COS(RADIANS(T182))*COS(RADIANS(AC182))))</f>
        <v>108.636508260503</v>
      </c>
      <c r="AE182" s="0" t="n">
        <f aca="false">90-AD182</f>
        <v>-18.6365082605026</v>
      </c>
      <c r="AF182" s="0" t="n">
        <f aca="false">IF(AE182&gt;85,0,IF(AE182&gt;5,58.1/TAN(RADIANS(AE182))-0.07/POWER(TAN(RADIANS(AE182)),3)+0.000086/POWER(TAN(RADIANS(AE182)),5),IF(AE182&gt;-0.575,1735+AE182*(-518.2+AE182*(103.4+AE182*(-12.79+AE182*0.711))),-20.772/TAN(RADIANS(AE182)))))/3600</f>
        <v>0.0171091375636786</v>
      </c>
      <c r="AG182" s="0" t="n">
        <f aca="false">AE182+AF182</f>
        <v>-18.6193991229389</v>
      </c>
      <c r="AH182" s="0" t="n">
        <f aca="false">IF(AC182&gt;0,MOD(DEGREES(ACOS(((SIN(RADIANS($B$3))*COS(RADIANS(AD182)))-SIN(RADIANS(T182)))/(COS(RADIANS($B$3))*SIN(RADIANS(AD182)))))+180,360),MOD(540-DEGREES(ACOS(((SIN(RADIANS($B$3))*COS(RADIANS(AD182)))-SIN(RADIANS(T182)))/(COS(RADIANS($B$3))*SIN(RADIANS(AD182))))),360))</f>
        <v>262.41904107036</v>
      </c>
    </row>
    <row r="183" customFormat="false" ht="15" hidden="false" customHeight="false" outlineLevel="0" collapsed="false">
      <c r="D183" s="6" t="n">
        <f aca="false">$B$7</f>
        <v>44886</v>
      </c>
      <c r="E183" s="7" t="n">
        <f aca="false">E182+0.1/24</f>
        <v>0.758333333333332</v>
      </c>
      <c r="F183" s="8" t="n">
        <f aca="false">D183+2415018.5+E183-$B$5/24</f>
        <v>2459905.21666667</v>
      </c>
      <c r="G183" s="9" t="n">
        <f aca="false">(F183-2451545)/36525</f>
        <v>0.228890257814286</v>
      </c>
      <c r="I183" s="0" t="n">
        <f aca="false">MOD(280.46646+G183*(36000.76983+G183*0.0003032),360)</f>
        <v>240.691963786338</v>
      </c>
      <c r="J183" s="0" t="n">
        <f aca="false">357.52911+G183*(35999.05029-0.0001537*G183)</f>
        <v>8597.36100389508</v>
      </c>
      <c r="K183" s="0" t="n">
        <f aca="false">0.016708634-G183*(0.000042037+0.0000001267*G183)</f>
        <v>0.0166990055023242</v>
      </c>
      <c r="L183" s="0" t="n">
        <f aca="false">SIN(RADIANS(J183))*(1.914602-G183*(0.004817+0.000014*G183))+SIN(RADIANS(2*J183))*(0.019993-0.000101*G183)+SIN(RADIANS(3*J183))*0.000289</f>
        <v>-1.31628973716585</v>
      </c>
      <c r="M183" s="0" t="n">
        <f aca="false">I183+L183</f>
        <v>239.375674049172</v>
      </c>
      <c r="N183" s="0" t="n">
        <f aca="false">J183+L183</f>
        <v>8596.04471415792</v>
      </c>
      <c r="O183" s="0" t="n">
        <f aca="false">(1.000001018*(1-K183*K183))/(1+K183*COS(RADIANS(N183)))</f>
        <v>0.98784694806358</v>
      </c>
      <c r="P183" s="0" t="n">
        <f aca="false">M183-0.00569-0.00478*SIN(RADIANS(125.04-1934.136*G183))</f>
        <v>239.366764883356</v>
      </c>
      <c r="Q183" s="0" t="n">
        <f aca="false">23+(26+((21.448-G183*(46.815+G183*(0.00059-G183*0.001813))))/60)/60</f>
        <v>23.436314581503</v>
      </c>
      <c r="R183" s="0" t="n">
        <f aca="false">Q183+0.00256*COS(RADIANS(125.04-1934.136*G183))</f>
        <v>23.4382069809063</v>
      </c>
      <c r="S183" s="0" t="n">
        <f aca="false">DEGREES(ATAN2(COS(RADIANS(P183)),COS(RADIANS(R183))*SIN(RADIANS(P183))))</f>
        <v>-122.839687256295</v>
      </c>
      <c r="T183" s="0" t="n">
        <f aca="false">DEGREES(ASIN(SIN(RADIANS(R183))*SIN(RADIANS(P183))))</f>
        <v>-20.0140806739774</v>
      </c>
      <c r="U183" s="0" t="n">
        <f aca="false">TAN(RADIANS(R183/2))*TAN(RADIANS(R183/2))</f>
        <v>0.0430304352070845</v>
      </c>
      <c r="V183" s="0" t="n">
        <f aca="false">4*DEGREES(U183*SIN(2*RADIANS(I183))-2*K183*SIN(RADIANS(J183))+4*K183*U183*SIN(RADIANS(J183))*COS(2*RADIANS(I183))-0.5*U183*U183*SIN(4*RADIANS(I183))-1.25*K183*K183*SIN(2*RADIANS(J183)))</f>
        <v>14.1044988152793</v>
      </c>
      <c r="W183" s="0" t="n">
        <f aca="false">DEGREES(ACOS(COS(RADIANS(90.833))/(COS(RADIANS($B$3))*COS(RADIANS(T183)))-TAN(RADIANS($B$3))*TAN(RADIANS(T183))))</f>
        <v>43.3976322089708</v>
      </c>
      <c r="X183" s="7" t="n">
        <f aca="false">(720-4*$B$4-V183+$B$5*60)/1440</f>
        <v>0.499941320267167</v>
      </c>
      <c r="Y183" s="7" t="n">
        <f aca="false">X183-W183*4/1440</f>
        <v>0.379392341908915</v>
      </c>
      <c r="Z183" s="7" t="n">
        <f aca="false">X183+W183*4/1440</f>
        <v>0.620490298625419</v>
      </c>
      <c r="AA183" s="10" t="n">
        <f aca="false">8*W183</f>
        <v>347.181057671766</v>
      </c>
      <c r="AB183" s="0" t="n">
        <f aca="false">MOD(E183*1440+V183+4*$B$4-60*$B$5,1440)</f>
        <v>1092.08449881528</v>
      </c>
      <c r="AC183" s="0" t="n">
        <f aca="false">IF(AB183/4&lt;0,AB183/4+180,AB183/4-180)</f>
        <v>93.0211247038193</v>
      </c>
      <c r="AD183" s="0" t="n">
        <f aca="false">DEGREES(ACOS(SIN(RADIANS($B$3))*SIN(RADIANS(T183))+COS(RADIANS($B$3))*COS(RADIANS(T183))*COS(RADIANS(AC183))))</f>
        <v>109.27904919533</v>
      </c>
      <c r="AE183" s="0" t="n">
        <f aca="false">90-AD183</f>
        <v>-19.2790491953301</v>
      </c>
      <c r="AF183" s="0" t="n">
        <f aca="false">IF(AE183&gt;85,0,IF(AE183&gt;5,58.1/TAN(RADIANS(AE183))-0.07/POWER(TAN(RADIANS(AE183)),3)+0.000086/POWER(TAN(RADIANS(AE183)),5),IF(AE183&gt;-0.575,1735+AE183*(-518.2+AE183*(103.4+AE183*(-12.79+AE183*0.711))),-20.772/TAN(RADIANS(AE183)))))/3600</f>
        <v>0.0164958678106483</v>
      </c>
      <c r="AG183" s="0" t="n">
        <f aca="false">AE183+AF183</f>
        <v>-19.2625533275195</v>
      </c>
      <c r="AH183" s="0" t="n">
        <f aca="false">IF(AC183&gt;0,MOD(DEGREES(ACOS(((SIN(RADIANS($B$3))*COS(RADIANS(AD183)))-SIN(RADIANS(T183)))/(COS(RADIANS($B$3))*SIN(RADIANS(AD183)))))+180,360),MOD(540-DEGREES(ACOS(((SIN(RADIANS($B$3))*COS(RADIANS(AD183)))-SIN(RADIANS(T183)))/(COS(RADIANS($B$3))*SIN(RADIANS(AD183))))),360))</f>
        <v>263.745123949142</v>
      </c>
    </row>
    <row r="184" customFormat="false" ht="15" hidden="false" customHeight="false" outlineLevel="0" collapsed="false">
      <c r="D184" s="6" t="n">
        <f aca="false">$B$7</f>
        <v>44886</v>
      </c>
      <c r="E184" s="7" t="n">
        <f aca="false">E183+0.1/24</f>
        <v>0.762499999999999</v>
      </c>
      <c r="F184" s="8" t="n">
        <f aca="false">D184+2415018.5+E184-$B$5/24</f>
        <v>2459905.22083333</v>
      </c>
      <c r="G184" s="9" t="n">
        <f aca="false">(F184-2451545)/36525</f>
        <v>0.228890371891408</v>
      </c>
      <c r="I184" s="0" t="n">
        <f aca="false">MOD(280.46646+G184*(36000.76983+G184*0.0003032),360)</f>
        <v>240.696070650569</v>
      </c>
      <c r="J184" s="0" t="n">
        <f aca="false">357.52911+G184*(35999.05029-0.0001537*G184)</f>
        <v>8597.36511056313</v>
      </c>
      <c r="K184" s="0" t="n">
        <f aca="false">0.016708634-G184*(0.000042037+0.0000001267*G184)</f>
        <v>0.0166990054975221</v>
      </c>
      <c r="L184" s="0" t="n">
        <f aca="false">SIN(RADIANS(J184))*(1.914602-G184*(0.004817+0.000014*G184))+SIN(RADIANS(2*J184))*(0.019993-0.000101*G184)+SIN(RADIANS(3*J184))*0.000289</f>
        <v>-1.31618864341846</v>
      </c>
      <c r="M184" s="0" t="n">
        <f aca="false">I184+L184</f>
        <v>239.37988200715</v>
      </c>
      <c r="N184" s="0" t="n">
        <f aca="false">J184+L184</f>
        <v>8596.04892191971</v>
      </c>
      <c r="O184" s="0" t="n">
        <f aca="false">(1.000001018*(1-K184*K184))/(1+K184*COS(RADIANS(N184)))</f>
        <v>0.987846117217827</v>
      </c>
      <c r="P184" s="0" t="n">
        <f aca="false">M184-0.00569-0.00478*SIN(RADIANS(125.04-1934.136*G184))</f>
        <v>239.370972854942</v>
      </c>
      <c r="Q184" s="0" t="n">
        <f aca="false">23+(26+((21.448-G184*(46.815+G184*(0.00059-G184*0.001813))))/60)/60</f>
        <v>23.4363145800196</v>
      </c>
      <c r="R184" s="0" t="n">
        <f aca="false">Q184+0.00256*COS(RADIANS(125.04-1934.136*G184))</f>
        <v>23.4382069860621</v>
      </c>
      <c r="S184" s="0" t="n">
        <f aca="false">DEGREES(ATAN2(COS(RADIANS(P184)),COS(RADIANS(R184))*SIN(RADIANS(P184))))</f>
        <v>-122.835314226486</v>
      </c>
      <c r="T184" s="0" t="n">
        <f aca="false">DEGREES(ASIN(SIN(RADIANS(R184))*SIN(RADIANS(P184))))</f>
        <v>-20.0149882895256</v>
      </c>
      <c r="U184" s="0" t="n">
        <f aca="false">TAN(RADIANS(R184/2))*TAN(RADIANS(R184/2))</f>
        <v>0.043030435226554</v>
      </c>
      <c r="V184" s="0" t="n">
        <f aca="false">4*DEGREES(U184*SIN(2*RADIANS(I184))-2*K184*SIN(RADIANS(J184))+4*K184*U184*SIN(RADIANS(J184))*COS(2*RADIANS(I184))-0.5*U184*U184*SIN(4*RADIANS(I184))-1.25*K184*K184*SIN(2*RADIANS(J184)))</f>
        <v>14.1034222898859</v>
      </c>
      <c r="W184" s="0" t="n">
        <f aca="false">DEGREES(ACOS(COS(RADIANS(90.833))/(COS(RADIANS($B$3))*COS(RADIANS(T184)))-TAN(RADIANS($B$3))*TAN(RADIANS(T184))))</f>
        <v>43.394517127384</v>
      </c>
      <c r="X184" s="7" t="n">
        <f aca="false">(720-4*$B$4-V184+$B$5*60)/1440</f>
        <v>0.499942067854246</v>
      </c>
      <c r="Y184" s="7" t="n">
        <f aca="false">X184-W184*4/1440</f>
        <v>0.379401742500401</v>
      </c>
      <c r="Z184" s="7" t="n">
        <f aca="false">X184+W184*4/1440</f>
        <v>0.62048239320809</v>
      </c>
      <c r="AA184" s="10" t="n">
        <f aca="false">8*W184</f>
        <v>347.156137019072</v>
      </c>
      <c r="AB184" s="0" t="n">
        <f aca="false">MOD(E184*1440+V184+4*$B$4-60*$B$5,1440)</f>
        <v>1098.08342228988</v>
      </c>
      <c r="AC184" s="0" t="n">
        <f aca="false">IF(AB184/4&lt;0,AB184/4+180,AB184/4-180)</f>
        <v>94.520855572471</v>
      </c>
      <c r="AD184" s="0" t="n">
        <f aca="false">DEGREES(ACOS(SIN(RADIANS($B$3))*SIN(RADIANS(T184))+COS(RADIANS($B$3))*COS(RADIANS(T184))*COS(RADIANS(AC184))))</f>
        <v>109.923221849273</v>
      </c>
      <c r="AE184" s="0" t="n">
        <f aca="false">90-AD184</f>
        <v>-19.9232218492725</v>
      </c>
      <c r="AF184" s="0" t="n">
        <f aca="false">IF(AE184&gt;85,0,IF(AE184&gt;5,58.1/TAN(RADIANS(AE184))-0.07/POWER(TAN(RADIANS(AE184)),3)+0.000086/POWER(TAN(RADIANS(AE184)),5),IF(AE184&gt;-0.575,1735+AE184*(-518.2+AE184*(103.4+AE184*(-12.79+AE184*0.711))),-20.772/TAN(RADIANS(AE184)))))/3600</f>
        <v>0.0159192868714646</v>
      </c>
      <c r="AG184" s="0" t="n">
        <f aca="false">AE184+AF184</f>
        <v>-19.907302562401</v>
      </c>
      <c r="AH184" s="0" t="n">
        <f aca="false">IF(AC184&gt;0,MOD(DEGREES(ACOS(((SIN(RADIANS($B$3))*COS(RADIANS(AD184)))-SIN(RADIANS(T184)))/(COS(RADIANS($B$3))*SIN(RADIANS(AD184)))))+180,360),MOD(540-DEGREES(ACOS(((SIN(RADIANS($B$3))*COS(RADIANS(AD184)))-SIN(RADIANS(T184)))/(COS(RADIANS($B$3))*SIN(RADIANS(AD184))))),360))</f>
        <v>265.075527454523</v>
      </c>
    </row>
    <row r="185" customFormat="false" ht="15" hidden="false" customHeight="false" outlineLevel="0" collapsed="false">
      <c r="D185" s="6" t="n">
        <f aca="false">$B$7</f>
        <v>44886</v>
      </c>
      <c r="E185" s="7" t="n">
        <f aca="false">E184+0.1/24</f>
        <v>0.766666666666665</v>
      </c>
      <c r="F185" s="8" t="n">
        <f aca="false">D185+2415018.5+E185-$B$5/24</f>
        <v>2459905.225</v>
      </c>
      <c r="G185" s="9" t="n">
        <f aca="false">(F185-2451545)/36525</f>
        <v>0.228890485968517</v>
      </c>
      <c r="I185" s="0" t="n">
        <f aca="false">MOD(280.46646+G185*(36000.76983+G185*0.0003032),360)</f>
        <v>240.700177514342</v>
      </c>
      <c r="J185" s="0" t="n">
        <f aca="false">357.52911+G185*(35999.05029-0.0001537*G185)</f>
        <v>8597.36921723072</v>
      </c>
      <c r="K185" s="0" t="n">
        <f aca="false">0.016708634-G185*(0.000042037+0.0000001267*G185)</f>
        <v>0.0166990054927201</v>
      </c>
      <c r="L185" s="0" t="n">
        <f aca="false">SIN(RADIANS(J185))*(1.914602-G185*(0.004817+0.000014*G185))+SIN(RADIANS(2*J185))*(0.019993-0.000101*G185)+SIN(RADIANS(3*J185))*0.000289</f>
        <v>-1.31608754260478</v>
      </c>
      <c r="M185" s="0" t="n">
        <f aca="false">I185+L185</f>
        <v>239.384089971737</v>
      </c>
      <c r="N185" s="0" t="n">
        <f aca="false">J185+L185</f>
        <v>8596.05312968811</v>
      </c>
      <c r="O185" s="0" t="n">
        <f aca="false">(1.000001018*(1-K185*K185))/(1+K185*COS(RADIANS(N185)))</f>
        <v>0.987845286435459</v>
      </c>
      <c r="P185" s="0" t="n">
        <f aca="false">M185-0.00569-0.00478*SIN(RADIANS(125.04-1934.136*G185))</f>
        <v>239.375180833135</v>
      </c>
      <c r="Q185" s="0" t="n">
        <f aca="false">23+(26+((21.448-G185*(46.815+G185*(0.00059-G185*0.001813))))/60)/60</f>
        <v>23.4363145785361</v>
      </c>
      <c r="R185" s="0" t="n">
        <f aca="false">Q185+0.00256*COS(RADIANS(125.04-1934.136*G185))</f>
        <v>23.4382069912178</v>
      </c>
      <c r="S185" s="0" t="n">
        <f aca="false">DEGREES(ATAN2(COS(RADIANS(P185)),COS(RADIANS(R185))*SIN(RADIANS(P185))))</f>
        <v>-122.830941139345</v>
      </c>
      <c r="T185" s="0" t="n">
        <f aca="false">DEGREES(ASIN(SIN(RADIANS(R185))*SIN(RADIANS(P185))))</f>
        <v>-20.0158957991606</v>
      </c>
      <c r="U185" s="0" t="n">
        <f aca="false">TAN(RADIANS(R185/2))*TAN(RADIANS(R185/2))</f>
        <v>0.0430304352460233</v>
      </c>
      <c r="V185" s="0" t="n">
        <f aca="false">4*DEGREES(U185*SIN(2*RADIANS(I185))-2*K185*SIN(RADIANS(J185))+4*K185*U185*SIN(RADIANS(J185))*COS(2*RADIANS(I185))-0.5*U185*U185*SIN(4*RADIANS(I185))-1.25*K185*K185*SIN(2*RADIANS(J185)))</f>
        <v>14.102345533355</v>
      </c>
      <c r="W185" s="0" t="n">
        <f aca="false">DEGREES(ACOS(COS(RADIANS(90.833))/(COS(RADIANS($B$3))*COS(RADIANS(T185)))-TAN(RADIANS($B$3))*TAN(RADIANS(T185))))</f>
        <v>43.3914021950035</v>
      </c>
      <c r="X185" s="7" t="n">
        <f aca="false">(720-4*$B$4-V185+$B$5*60)/1440</f>
        <v>0.499942815601837</v>
      </c>
      <c r="Y185" s="7" t="n">
        <f aca="false">X185-W185*4/1440</f>
        <v>0.379411142837938</v>
      </c>
      <c r="Z185" s="7" t="n">
        <f aca="false">X185+W185*4/1440</f>
        <v>0.620474488365736</v>
      </c>
      <c r="AA185" s="10" t="n">
        <f aca="false">8*W185</f>
        <v>347.131217560028</v>
      </c>
      <c r="AB185" s="0" t="n">
        <f aca="false">MOD(E185*1440+V185+4*$B$4-60*$B$5,1440)</f>
        <v>1104.08234553335</v>
      </c>
      <c r="AC185" s="0" t="n">
        <f aca="false">IF(AB185/4&lt;0,AB185/4+180,AB185/4-180)</f>
        <v>96.0205863833382</v>
      </c>
      <c r="AD185" s="0" t="n">
        <f aca="false">DEGREES(ACOS(SIN(RADIANS($B$3))*SIN(RADIANS(T185))+COS(RADIANS($B$3))*COS(RADIANS(T185))*COS(RADIANS(AC185))))</f>
        <v>110.568684390798</v>
      </c>
      <c r="AE185" s="0" t="n">
        <f aca="false">90-AD185</f>
        <v>-20.5686843907977</v>
      </c>
      <c r="AF185" s="0" t="n">
        <f aca="false">IF(AE185&gt;85,0,IF(AE185&gt;5,58.1/TAN(RADIANS(AE185))-0.07/POWER(TAN(RADIANS(AE185)),3)+0.000086/POWER(TAN(RADIANS(AE185)),5),IF(AE185&gt;-0.575,1735+AE185*(-518.2+AE185*(103.4+AE185*(-12.79+AE185*0.711))),-20.772/TAN(RADIANS(AE185)))))/3600</f>
        <v>0.0153763486378798</v>
      </c>
      <c r="AG185" s="0" t="n">
        <f aca="false">AE185+AF185</f>
        <v>-20.5533080421598</v>
      </c>
      <c r="AH185" s="0" t="n">
        <f aca="false">IF(AC185&gt;0,MOD(DEGREES(ACOS(((SIN(RADIANS($B$3))*COS(RADIANS(AD185)))-SIN(RADIANS(T185)))/(COS(RADIANS($B$3))*SIN(RADIANS(AD185)))))+180,360),MOD(540-DEGREES(ACOS(((SIN(RADIANS($B$3))*COS(RADIANS(AD185)))-SIN(RADIANS(T185)))/(COS(RADIANS($B$3))*SIN(RADIANS(AD185))))),360))</f>
        <v>266.410652199482</v>
      </c>
    </row>
    <row r="186" customFormat="false" ht="15" hidden="false" customHeight="false" outlineLevel="0" collapsed="false">
      <c r="D186" s="6" t="n">
        <f aca="false">$B$7</f>
        <v>44886</v>
      </c>
      <c r="E186" s="7" t="n">
        <f aca="false">E185+0.1/24</f>
        <v>0.770833333333332</v>
      </c>
      <c r="F186" s="8" t="n">
        <f aca="false">D186+2415018.5+E186-$B$5/24</f>
        <v>2459905.22916667</v>
      </c>
      <c r="G186" s="9" t="n">
        <f aca="false">(F186-2451545)/36525</f>
        <v>0.228890600045639</v>
      </c>
      <c r="I186" s="0" t="n">
        <f aca="false">MOD(280.46646+G186*(36000.76983+G186*0.0003032),360)</f>
        <v>240.704284378573</v>
      </c>
      <c r="J186" s="0" t="n">
        <f aca="false">357.52911+G186*(35999.05029-0.0001537*G186)</f>
        <v>8597.37332389876</v>
      </c>
      <c r="K186" s="0" t="n">
        <f aca="false">0.016708634-G186*(0.000042037+0.0000001267*G186)</f>
        <v>0.016699005487918</v>
      </c>
      <c r="L186" s="0" t="n">
        <f aca="false">SIN(RADIANS(J186))*(1.914602-G186*(0.004817+0.000014*G186))+SIN(RADIANS(2*J186))*(0.019993-0.000101*G186)+SIN(RADIANS(3*J186))*0.000289</f>
        <v>-1.3159864347026</v>
      </c>
      <c r="M186" s="0" t="n">
        <f aca="false">I186+L186</f>
        <v>239.38829794387</v>
      </c>
      <c r="N186" s="0" t="n">
        <f aca="false">J186+L186</f>
        <v>8596.05733746406</v>
      </c>
      <c r="O186" s="0" t="n">
        <f aca="false">(1.000001018*(1-K186*K186))/(1+K186*COS(RADIANS(N186)))</f>
        <v>0.987844455716292</v>
      </c>
      <c r="P186" s="0" t="n">
        <f aca="false">M186-0.00569-0.00478*SIN(RADIANS(125.04-1934.136*G186))</f>
        <v>239.379388818876</v>
      </c>
      <c r="Q186" s="0" t="n">
        <f aca="false">23+(26+((21.448-G186*(46.815+G186*(0.00059-G186*0.001813))))/60)/60</f>
        <v>23.4363145770526</v>
      </c>
      <c r="R186" s="0" t="n">
        <f aca="false">Q186+0.00256*COS(RADIANS(125.04-1934.136*G186))</f>
        <v>23.4382069963735</v>
      </c>
      <c r="S186" s="0" t="n">
        <f aca="false">DEGREES(ATAN2(COS(RADIANS(P186)),COS(RADIANS(R186))*SIN(RADIANS(P186))))</f>
        <v>-122.826567993899</v>
      </c>
      <c r="T186" s="0" t="n">
        <f aca="false">DEGREES(ASIN(SIN(RADIANS(R186))*SIN(RADIANS(P186))))</f>
        <v>-20.016803203078</v>
      </c>
      <c r="U186" s="0" t="n">
        <f aca="false">TAN(RADIANS(R186/2))*TAN(RADIANS(R186/2))</f>
        <v>0.0430304352654926</v>
      </c>
      <c r="V186" s="0" t="n">
        <f aca="false">4*DEGREES(U186*SIN(2*RADIANS(I186))-2*K186*SIN(RADIANS(J186))+4*K186*U186*SIN(RADIANS(J186))*COS(2*RADIANS(I186))-0.5*U186*U186*SIN(4*RADIANS(I186))-1.25*K186*K186*SIN(2*RADIANS(J186)))</f>
        <v>14.1012685454596</v>
      </c>
      <c r="W186" s="0" t="n">
        <f aca="false">DEGREES(ACOS(COS(RADIANS(90.833))/(COS(RADIANS($B$3))*COS(RADIANS(T186)))-TAN(RADIANS($B$3))*TAN(RADIANS(T186))))</f>
        <v>43.388287411185</v>
      </c>
      <c r="X186" s="7" t="n">
        <f aca="false">(720-4*$B$4-V186+$B$5*60)/1440</f>
        <v>0.499943563510097</v>
      </c>
      <c r="Y186" s="7" t="n">
        <f aca="false">X186-W186*4/1440</f>
        <v>0.379420542923472</v>
      </c>
      <c r="Z186" s="7" t="n">
        <f aca="false">X186+W186*4/1440</f>
        <v>0.620466584096723</v>
      </c>
      <c r="AA186" s="10" t="n">
        <f aca="false">8*W186</f>
        <v>347.10629928948</v>
      </c>
      <c r="AB186" s="0" t="n">
        <f aca="false">MOD(E186*1440+V186+4*$B$4-60*$B$5,1440)</f>
        <v>1110.08126854546</v>
      </c>
      <c r="AC186" s="0" t="n">
        <f aca="false">IF(AB186/4&lt;0,AB186/4+180,AB186/4-180)</f>
        <v>97.5203171363643</v>
      </c>
      <c r="AD186" s="0" t="n">
        <f aca="false">DEGREES(ACOS(SIN(RADIANS($B$3))*SIN(RADIANS(T186))+COS(RADIANS($B$3))*COS(RADIANS(T186))*COS(RADIANS(AC186))))</f>
        <v>111.215090980014</v>
      </c>
      <c r="AE186" s="0" t="n">
        <f aca="false">90-AD186</f>
        <v>-21.2150909800142</v>
      </c>
      <c r="AF186" s="0" t="n">
        <f aca="false">IF(AE186&gt;85,0,IF(AE186&gt;5,58.1/TAN(RADIANS(AE186))-0.07/POWER(TAN(RADIANS(AE186)),3)+0.000086/POWER(TAN(RADIANS(AE186)),5),IF(AE186&gt;-0.575,1735+AE186*(-518.2+AE186*(103.4+AE186*(-12.79+AE186*0.711))),-20.772/TAN(RADIANS(AE186)))))/3600</f>
        <v>0.014864334675594</v>
      </c>
      <c r="AG186" s="0" t="n">
        <f aca="false">AE186+AF186</f>
        <v>-21.2002266453386</v>
      </c>
      <c r="AH186" s="0" t="n">
        <f aca="false">IF(AC186&gt;0,MOD(DEGREES(ACOS(((SIN(RADIANS($B$3))*COS(RADIANS(AD186)))-SIN(RADIANS(T186)))/(COS(RADIANS($B$3))*SIN(RADIANS(AD186)))))+180,360),MOD(540-DEGREES(ACOS(((SIN(RADIANS($B$3))*COS(RADIANS(AD186)))-SIN(RADIANS(T186)))/(COS(RADIANS($B$3))*SIN(RADIANS(AD186))))),360))</f>
        <v>267.750906704126</v>
      </c>
    </row>
    <row r="187" customFormat="false" ht="15" hidden="false" customHeight="false" outlineLevel="0" collapsed="false">
      <c r="D187" s="6" t="n">
        <f aca="false">$B$7</f>
        <v>44886</v>
      </c>
      <c r="E187" s="7" t="n">
        <f aca="false">E186+0.1/24</f>
        <v>0.774999999999999</v>
      </c>
      <c r="F187" s="8" t="n">
        <f aca="false">D187+2415018.5+E187-$B$5/24</f>
        <v>2459905.23333333</v>
      </c>
      <c r="G187" s="9" t="n">
        <f aca="false">(F187-2451545)/36525</f>
        <v>0.228890714122749</v>
      </c>
      <c r="I187" s="0" t="n">
        <f aca="false">MOD(280.46646+G187*(36000.76983+G187*0.0003032),360)</f>
        <v>240.708391242342</v>
      </c>
      <c r="J187" s="0" t="n">
        <f aca="false">357.52911+G187*(35999.05029-0.0001537*G187)</f>
        <v>8597.37743056635</v>
      </c>
      <c r="K187" s="0" t="n">
        <f aca="false">0.016708634-G187*(0.000042037+0.0000001267*G187)</f>
        <v>0.0166990054831159</v>
      </c>
      <c r="L187" s="0" t="n">
        <f aca="false">SIN(RADIANS(J187))*(1.914602-G187*(0.004817+0.000014*G187))+SIN(RADIANS(2*J187))*(0.019993-0.000101*G187)+SIN(RADIANS(3*J187))*0.000289</f>
        <v>-1.31588531973513</v>
      </c>
      <c r="M187" s="0" t="n">
        <f aca="false">I187+L187</f>
        <v>239.392505922607</v>
      </c>
      <c r="N187" s="0" t="n">
        <f aca="false">J187+L187</f>
        <v>8596.06154524662</v>
      </c>
      <c r="O187" s="0" t="n">
        <f aca="false">(1.000001018*(1-K187*K187))/(1+K187*COS(RADIANS(N187)))</f>
        <v>0.98784362506052</v>
      </c>
      <c r="P187" s="0" t="n">
        <f aca="false">M187-0.00569-0.00478*SIN(RADIANS(125.04-1934.136*G187))</f>
        <v>239.38359681122</v>
      </c>
      <c r="Q187" s="0" t="n">
        <f aca="false">23+(26+((21.448-G187*(46.815+G187*(0.00059-G187*0.001813))))/60)/60</f>
        <v>23.4363145755691</v>
      </c>
      <c r="R187" s="0" t="n">
        <f aca="false">Q187+0.00256*COS(RADIANS(125.04-1934.136*G187))</f>
        <v>23.4382070015292</v>
      </c>
      <c r="S187" s="0" t="n">
        <f aca="false">DEGREES(ATAN2(COS(RADIANS(P187)),COS(RADIANS(R187))*SIN(RADIANS(P187))))</f>
        <v>-122.822194791132</v>
      </c>
      <c r="T187" s="0" t="n">
        <f aca="false">DEGREES(ASIN(SIN(RADIANS(R187))*SIN(RADIANS(P187))))</f>
        <v>-20.0177105010671</v>
      </c>
      <c r="U187" s="0" t="n">
        <f aca="false">TAN(RADIANS(R187/2))*TAN(RADIANS(R187/2))</f>
        <v>0.0430304352849617</v>
      </c>
      <c r="V187" s="0" t="n">
        <f aca="false">4*DEGREES(U187*SIN(2*RADIANS(I187))-2*K187*SIN(RADIANS(J187))+4*K187*U187*SIN(RADIANS(J187))*COS(2*RADIANS(I187))-0.5*U187*U187*SIN(4*RADIANS(I187))-1.25*K187*K187*SIN(2*RADIANS(J187)))</f>
        <v>14.1001913264556</v>
      </c>
      <c r="W187" s="0" t="n">
        <f aca="false">DEGREES(ACOS(COS(RADIANS(90.833))/(COS(RADIANS($B$3))*COS(RADIANS(T187)))-TAN(RADIANS($B$3))*TAN(RADIANS(T187))))</f>
        <v>43.3851727766779</v>
      </c>
      <c r="X187" s="7" t="n">
        <f aca="false">(720-4*$B$4-V187+$B$5*60)/1440</f>
        <v>0.49994431157885</v>
      </c>
      <c r="Y187" s="7" t="n">
        <f aca="false">X187-W187*4/1440</f>
        <v>0.379429942754745</v>
      </c>
      <c r="Z187" s="7" t="n">
        <f aca="false">X187+W187*4/1440</f>
        <v>0.620458680402956</v>
      </c>
      <c r="AA187" s="10" t="n">
        <f aca="false">8*W187</f>
        <v>347.081382213423</v>
      </c>
      <c r="AB187" s="0" t="n">
        <f aca="false">MOD(E187*1440+V187+4*$B$4-60*$B$5,1440)</f>
        <v>1116.08019132645</v>
      </c>
      <c r="AC187" s="0" t="n">
        <f aca="false">IF(AB187/4&lt;0,AB187/4+180,AB187/4-180)</f>
        <v>99.0200478316133</v>
      </c>
      <c r="AD187" s="0" t="n">
        <f aca="false">DEGREES(ACOS(SIN(RADIANS($B$3))*SIN(RADIANS(T187))+COS(RADIANS($B$3))*COS(RADIANS(T187))*COS(RADIANS(AC187))))</f>
        <v>111.862091508548</v>
      </c>
      <c r="AE187" s="0" t="n">
        <f aca="false">90-AD187</f>
        <v>-21.8620915085481</v>
      </c>
      <c r="AF187" s="0" t="n">
        <f aca="false">IF(AE187&gt;85,0,IF(AE187&gt;5,58.1/TAN(RADIANS(AE187))-0.07/POWER(TAN(RADIANS(AE187)),3)+0.000086/POWER(TAN(RADIANS(AE187)),5),IF(AE187&gt;-0.575,1735+AE187*(-518.2+AE187*(103.4+AE187*(-12.79+AE187*0.711))),-20.772/TAN(RADIANS(AE187)))))/3600</f>
        <v>0.0143808121359148</v>
      </c>
      <c r="AG187" s="0" t="n">
        <f aca="false">AE187+AF187</f>
        <v>-21.8477106964122</v>
      </c>
      <c r="AH187" s="0" t="n">
        <f aca="false">IF(AC187&gt;0,MOD(DEGREES(ACOS(((SIN(RADIANS($B$3))*COS(RADIANS(AD187)))-SIN(RADIANS(T187)))/(COS(RADIANS($B$3))*SIN(RADIANS(AD187)))))+180,360),MOD(540-DEGREES(ACOS(((SIN(RADIANS($B$3))*COS(RADIANS(AD187)))-SIN(RADIANS(T187)))/(COS(RADIANS($B$3))*SIN(RADIANS(AD187))))),360))</f>
        <v>269.096707166312</v>
      </c>
    </row>
    <row r="188" customFormat="false" ht="15" hidden="false" customHeight="false" outlineLevel="0" collapsed="false">
      <c r="D188" s="6" t="n">
        <f aca="false">$B$7</f>
        <v>44886</v>
      </c>
      <c r="E188" s="7" t="n">
        <f aca="false">E187+0.1/24</f>
        <v>0.779166666666665</v>
      </c>
      <c r="F188" s="8" t="n">
        <f aca="false">D188+2415018.5+E188-$B$5/24</f>
        <v>2459905.2375</v>
      </c>
      <c r="G188" s="9" t="n">
        <f aca="false">(F188-2451545)/36525</f>
        <v>0.228890828199871</v>
      </c>
      <c r="I188" s="0" t="n">
        <f aca="false">MOD(280.46646+G188*(36000.76983+G188*0.0003032),360)</f>
        <v>240.712498106574</v>
      </c>
      <c r="J188" s="0" t="n">
        <f aca="false">357.52911+G188*(35999.05029-0.0001537*G188)</f>
        <v>8597.3815372344</v>
      </c>
      <c r="K188" s="0" t="n">
        <f aca="false">0.016708634-G188*(0.000042037+0.0000001267*G188)</f>
        <v>0.0166990054783138</v>
      </c>
      <c r="L188" s="0" t="n">
        <f aca="false">SIN(RADIANS(J188))*(1.914602-G188*(0.004817+0.000014*G188))+SIN(RADIANS(2*J188))*(0.019993-0.000101*G188)+SIN(RADIANS(3*J188))*0.000289</f>
        <v>-1.3157841976802</v>
      </c>
      <c r="M188" s="0" t="n">
        <f aca="false">I188+L188</f>
        <v>239.396713908893</v>
      </c>
      <c r="N188" s="0" t="n">
        <f aca="false">J188+L188</f>
        <v>8596.06575303672</v>
      </c>
      <c r="O188" s="0" t="n">
        <f aca="false">(1.000001018*(1-K188*K188))/(1+K188*COS(RADIANS(N188)))</f>
        <v>0.98784279446796</v>
      </c>
      <c r="P188" s="0" t="n">
        <f aca="false">M188-0.00569-0.00478*SIN(RADIANS(125.04-1934.136*G188))</f>
        <v>239.387804811113</v>
      </c>
      <c r="Q188" s="0" t="n">
        <f aca="false">23+(26+((21.448-G188*(46.815+G188*(0.00059-G188*0.001813))))/60)/60</f>
        <v>23.4363145740856</v>
      </c>
      <c r="R188" s="0" t="n">
        <f aca="false">Q188+0.00256*COS(RADIANS(125.04-1934.136*G188))</f>
        <v>23.4382070066848</v>
      </c>
      <c r="S188" s="0" t="n">
        <f aca="false">DEGREES(ATAN2(COS(RADIANS(P188)),COS(RADIANS(R188))*SIN(RADIANS(P188))))</f>
        <v>-122.817821530061</v>
      </c>
      <c r="T188" s="0" t="n">
        <f aca="false">DEGREES(ASIN(SIN(RADIANS(R188))*SIN(RADIANS(P188))))</f>
        <v>-20.018617693325</v>
      </c>
      <c r="U188" s="0" t="n">
        <f aca="false">TAN(RADIANS(R188/2))*TAN(RADIANS(R188/2))</f>
        <v>0.0430304353044308</v>
      </c>
      <c r="V188" s="0" t="n">
        <f aca="false">4*DEGREES(U188*SIN(2*RADIANS(I188))-2*K188*SIN(RADIANS(J188))+4*K188*U188*SIN(RADIANS(J188))*COS(2*RADIANS(I188))-0.5*U188*U188*SIN(4*RADIANS(I188))-1.25*K188*K188*SIN(2*RADIANS(J188)))</f>
        <v>14.099113876115</v>
      </c>
      <c r="W188" s="0" t="n">
        <f aca="false">DEGREES(ACOS(COS(RADIANS(90.833))/(COS(RADIANS($B$3))*COS(RADIANS(T188)))-TAN(RADIANS($B$3))*TAN(RADIANS(T188))))</f>
        <v>43.3820582908327</v>
      </c>
      <c r="X188" s="7" t="n">
        <f aca="false">(720-4*$B$4-V188+$B$5*60)/1440</f>
        <v>0.499945059808254</v>
      </c>
      <c r="Y188" s="7" t="n">
        <f aca="false">X188-W188*4/1440</f>
        <v>0.379439342333718</v>
      </c>
      <c r="Z188" s="7" t="n">
        <f aca="false">X188+W188*4/1440</f>
        <v>0.620450777282789</v>
      </c>
      <c r="AA188" s="10" t="n">
        <f aca="false">8*W188</f>
        <v>347.056466326661</v>
      </c>
      <c r="AB188" s="0" t="n">
        <f aca="false">MOD(E188*1440+V188+4*$B$4-60*$B$5,1440)</f>
        <v>1122.07911387611</v>
      </c>
      <c r="AC188" s="0" t="n">
        <f aca="false">IF(AB188/4&lt;0,AB188/4+180,AB188/4-180)</f>
        <v>100.519778469028</v>
      </c>
      <c r="AD188" s="0" t="n">
        <f aca="false">DEGREES(ACOS(SIN(RADIANS($B$3))*SIN(RADIANS(T188))+COS(RADIANS($B$3))*COS(RADIANS(T188))*COS(RADIANS(AC188))))</f>
        <v>112.509331332179</v>
      </c>
      <c r="AE188" s="0" t="n">
        <f aca="false">90-AD188</f>
        <v>-22.5093313321795</v>
      </c>
      <c r="AF188" s="0" t="n">
        <f aca="false">IF(AE188&gt;85,0,IF(AE188&gt;5,58.1/TAN(RADIANS(AE188))-0.07/POWER(TAN(RADIANS(AE188)),3)+0.000086/POWER(TAN(RADIANS(AE188)),5),IF(AE188&gt;-0.575,1735+AE188*(-518.2+AE188*(103.4+AE188*(-12.79+AE188*0.711))),-20.772/TAN(RADIANS(AE188)))))/3600</f>
        <v>0.013923597991512</v>
      </c>
      <c r="AG188" s="0" t="n">
        <f aca="false">AE188+AF188</f>
        <v>-22.495407734188</v>
      </c>
      <c r="AH188" s="0" t="n">
        <f aca="false">IF(AC188&gt;0,MOD(DEGREES(ACOS(((SIN(RADIANS($B$3))*COS(RADIANS(AD188)))-SIN(RADIANS(T188)))/(COS(RADIANS($B$3))*SIN(RADIANS(AD188)))))+180,360),MOD(540-DEGREES(ACOS(((SIN(RADIANS($B$3))*COS(RADIANS(AD188)))-SIN(RADIANS(T188)))/(COS(RADIANS($B$3))*SIN(RADIANS(AD188))))),360))</f>
        <v>270.448477200588</v>
      </c>
    </row>
    <row r="189" customFormat="false" ht="15" hidden="false" customHeight="false" outlineLevel="0" collapsed="false">
      <c r="D189" s="6" t="n">
        <f aca="false">$B$7</f>
        <v>44886</v>
      </c>
      <c r="E189" s="7" t="n">
        <f aca="false">E188+0.1/24</f>
        <v>0.783333333333332</v>
      </c>
      <c r="F189" s="8" t="n">
        <f aca="false">D189+2415018.5+E189-$B$5/24</f>
        <v>2459905.24166667</v>
      </c>
      <c r="G189" s="9" t="n">
        <f aca="false">(F189-2451545)/36525</f>
        <v>0.22889094227698</v>
      </c>
      <c r="I189" s="0" t="n">
        <f aca="false">MOD(280.46646+G189*(36000.76983+G189*0.0003032),360)</f>
        <v>240.716604970346</v>
      </c>
      <c r="J189" s="0" t="n">
        <f aca="false">357.52911+G189*(35999.05029-0.0001537*G189)</f>
        <v>8597.38564390199</v>
      </c>
      <c r="K189" s="0" t="n">
        <f aca="false">0.016708634-G189*(0.000042037+0.0000001267*G189)</f>
        <v>0.0166990054735118</v>
      </c>
      <c r="L189" s="0" t="n">
        <f aca="false">SIN(RADIANS(J189))*(1.914602-G189*(0.004817+0.000014*G189))+SIN(RADIANS(2*J189))*(0.019993-0.000101*G189)+SIN(RADIANS(3*J189))*0.000289</f>
        <v>-1.31568306856094</v>
      </c>
      <c r="M189" s="0" t="n">
        <f aca="false">I189+L189</f>
        <v>239.400921901786</v>
      </c>
      <c r="N189" s="0" t="n">
        <f aca="false">J189+L189</f>
        <v>8596.06996083343</v>
      </c>
      <c r="O189" s="0" t="n">
        <f aca="false">(1.000001018*(1-K189*K189))/(1+K189*COS(RADIANS(N189)))</f>
        <v>0.987841963938801</v>
      </c>
      <c r="P189" s="0" t="n">
        <f aca="false">M189-0.00569-0.00478*SIN(RADIANS(125.04-1934.136*G189))</f>
        <v>239.392012817613</v>
      </c>
      <c r="Q189" s="0" t="n">
        <f aca="false">23+(26+((21.448-G189*(46.815+G189*(0.00059-G189*0.001813))))/60)/60</f>
        <v>23.4363145726022</v>
      </c>
      <c r="R189" s="0" t="n">
        <f aca="false">Q189+0.00256*COS(RADIANS(125.04-1934.136*G189))</f>
        <v>23.4382070118404</v>
      </c>
      <c r="S189" s="0" t="n">
        <f aca="false">DEGREES(ATAN2(COS(RADIANS(P189)),COS(RADIANS(R189))*SIN(RADIANS(P189))))</f>
        <v>-122.813448211672</v>
      </c>
      <c r="T189" s="0" t="n">
        <f aca="false">DEGREES(ASIN(SIN(RADIANS(R189))*SIN(RADIANS(P189))))</f>
        <v>-20.0195247796411</v>
      </c>
      <c r="U189" s="0" t="n">
        <f aca="false">TAN(RADIANS(R189/2))*TAN(RADIANS(R189/2))</f>
        <v>0.0430304353238997</v>
      </c>
      <c r="V189" s="0" t="n">
        <f aca="false">4*DEGREES(U189*SIN(2*RADIANS(I189))-2*K189*SIN(RADIANS(J189))+4*K189*U189*SIN(RADIANS(J189))*COS(2*RADIANS(I189))-0.5*U189*U189*SIN(4*RADIANS(I189))-1.25*K189*K189*SIN(2*RADIANS(J189)))</f>
        <v>14.0980361946932</v>
      </c>
      <c r="W189" s="0" t="n">
        <f aca="false">DEGREES(ACOS(COS(RADIANS(90.833))/(COS(RADIANS($B$3))*COS(RADIANS(T189)))-TAN(RADIANS($B$3))*TAN(RADIANS(T189))))</f>
        <v>43.3789439543986</v>
      </c>
      <c r="X189" s="7" t="n">
        <f aca="false">(720-4*$B$4-V189+$B$5*60)/1440</f>
        <v>0.49994580819813</v>
      </c>
      <c r="Y189" s="7" t="n">
        <f aca="false">X189-W189*4/1440</f>
        <v>0.379448741658133</v>
      </c>
      <c r="Z189" s="7" t="n">
        <f aca="false">X189+W189*4/1440</f>
        <v>0.620442874738126</v>
      </c>
      <c r="AA189" s="10" t="n">
        <f aca="false">8*W189</f>
        <v>347.031551635189</v>
      </c>
      <c r="AB189" s="0" t="n">
        <f aca="false">MOD(E189*1440+V189+4*$B$4-60*$B$5,1440)</f>
        <v>1128.07803619469</v>
      </c>
      <c r="AC189" s="0" t="n">
        <f aca="false">IF(AB189/4&lt;0,AB189/4+180,AB189/4-180)</f>
        <v>102.019509048673</v>
      </c>
      <c r="AD189" s="0" t="n">
        <f aca="false">DEGREES(ACOS(SIN(RADIANS($B$3))*SIN(RADIANS(T189))+COS(RADIANS($B$3))*COS(RADIANS(T189))*COS(RADIANS(AC189))))</f>
        <v>113.156450994877</v>
      </c>
      <c r="AE189" s="0" t="n">
        <f aca="false">90-AD189</f>
        <v>-23.156450994877</v>
      </c>
      <c r="AF189" s="0" t="n">
        <f aca="false">IF(AE189&gt;85,0,IF(AE189&gt;5,58.1/TAN(RADIANS(AE189))-0.07/POWER(TAN(RADIANS(AE189)),3)+0.000086/POWER(TAN(RADIANS(AE189)),5),IF(AE189&gt;-0.575,1735+AE189*(-518.2+AE189*(103.4+AE189*(-12.79+AE189*0.711))),-20.772/TAN(RADIANS(AE189)))))/3600</f>
        <v>0.0134907285191141</v>
      </c>
      <c r="AG189" s="0" t="n">
        <f aca="false">AE189+AF189</f>
        <v>-23.1429602663579</v>
      </c>
      <c r="AH189" s="0" t="n">
        <f aca="false">IF(AC189&gt;0,MOD(DEGREES(ACOS(((SIN(RADIANS($B$3))*COS(RADIANS(AD189)))-SIN(RADIANS(T189)))/(COS(RADIANS($B$3))*SIN(RADIANS(AD189)))))+180,360),MOD(540-DEGREES(ACOS(((SIN(RADIANS($B$3))*COS(RADIANS(AD189)))-SIN(RADIANS(T189)))/(COS(RADIANS($B$3))*SIN(RADIANS(AD189))))),360))</f>
        <v>271.806647542782</v>
      </c>
    </row>
    <row r="190" customFormat="false" ht="15" hidden="false" customHeight="false" outlineLevel="0" collapsed="false">
      <c r="D190" s="6" t="n">
        <f aca="false">$B$7</f>
        <v>44886</v>
      </c>
      <c r="E190" s="7" t="n">
        <f aca="false">E189+0.1/24</f>
        <v>0.787499999999998</v>
      </c>
      <c r="F190" s="8" t="n">
        <f aca="false">D190+2415018.5+E190-$B$5/24</f>
        <v>2459905.24583333</v>
      </c>
      <c r="G190" s="9" t="n">
        <f aca="false">(F190-2451545)/36525</f>
        <v>0.228891056354102</v>
      </c>
      <c r="I190" s="0" t="n">
        <f aca="false">MOD(280.46646+G190*(36000.76983+G190*0.0003032),360)</f>
        <v>240.720711834578</v>
      </c>
      <c r="J190" s="0" t="n">
        <f aca="false">357.52911+G190*(35999.05029-0.0001537*G190)</f>
        <v>8597.38975057003</v>
      </c>
      <c r="K190" s="0" t="n">
        <f aca="false">0.016708634-G190*(0.000042037+0.0000001267*G190)</f>
        <v>0.0166990054687097</v>
      </c>
      <c r="L190" s="0" t="n">
        <f aca="false">SIN(RADIANS(J190))*(1.914602-G190*(0.004817+0.000014*G190))+SIN(RADIANS(2*J190))*(0.019993-0.000101*G190)+SIN(RADIANS(3*J190))*0.000289</f>
        <v>-1.31558193235539</v>
      </c>
      <c r="M190" s="0" t="n">
        <f aca="false">I190+L190</f>
        <v>239.405129902222</v>
      </c>
      <c r="N190" s="0" t="n">
        <f aca="false">J190+L190</f>
        <v>8596.07416863768</v>
      </c>
      <c r="O190" s="0" t="n">
        <f aca="false">(1.000001018*(1-K190*K190))/(1+K190*COS(RADIANS(N190)))</f>
        <v>0.987841133472864</v>
      </c>
      <c r="P190" s="0" t="n">
        <f aca="false">M190-0.00569-0.00478*SIN(RADIANS(125.04-1934.136*G190))</f>
        <v>239.396220831657</v>
      </c>
      <c r="Q190" s="0" t="n">
        <f aca="false">23+(26+((21.448-G190*(46.815+G190*(0.00059-G190*0.001813))))/60)/60</f>
        <v>23.4363145711187</v>
      </c>
      <c r="R190" s="0" t="n">
        <f aca="false">Q190+0.00256*COS(RADIANS(125.04-1934.136*G190))</f>
        <v>23.438207016996</v>
      </c>
      <c r="S190" s="0" t="n">
        <f aca="false">DEGREES(ATAN2(COS(RADIANS(P190)),COS(RADIANS(R190))*SIN(RADIANS(P190))))</f>
        <v>-122.80907483499</v>
      </c>
      <c r="T190" s="0" t="n">
        <f aca="false">DEGREES(ASIN(SIN(RADIANS(R190))*SIN(RADIANS(P190))))</f>
        <v>-20.0204317602107</v>
      </c>
      <c r="U190" s="0" t="n">
        <f aca="false">TAN(RADIANS(R190/2))*TAN(RADIANS(R190/2))</f>
        <v>0.0430304353433685</v>
      </c>
      <c r="V190" s="0" t="n">
        <f aca="false">4*DEGREES(U190*SIN(2*RADIANS(I190))-2*K190*SIN(RADIANS(J190))+4*K190*U190*SIN(RADIANS(J190))*COS(2*RADIANS(I190))-0.5*U190*U190*SIN(4*RADIANS(I190))-1.25*K190*K190*SIN(2*RADIANS(J190)))</f>
        <v>14.0969582819643</v>
      </c>
      <c r="W190" s="0" t="n">
        <f aca="false">DEGREES(ACOS(COS(RADIANS(90.833))/(COS(RADIANS($B$3))*COS(RADIANS(T190)))-TAN(RADIANS($B$3))*TAN(RADIANS(T190))))</f>
        <v>43.375829766732</v>
      </c>
      <c r="X190" s="7" t="n">
        <f aca="false">(720-4*$B$4-V190+$B$5*60)/1440</f>
        <v>0.499946556748636</v>
      </c>
      <c r="Y190" s="7" t="n">
        <f aca="false">X190-W190*4/1440</f>
        <v>0.379458140729936</v>
      </c>
      <c r="Z190" s="7" t="n">
        <f aca="false">X190+W190*4/1440</f>
        <v>0.620434972767336</v>
      </c>
      <c r="AA190" s="10" t="n">
        <f aca="false">8*W190</f>
        <v>347.006638133856</v>
      </c>
      <c r="AB190" s="0" t="n">
        <f aca="false">MOD(E190*1440+V190+4*$B$4-60*$B$5,1440)</f>
        <v>1134.07695828196</v>
      </c>
      <c r="AC190" s="0" t="n">
        <f aca="false">IF(AB190/4&lt;0,AB190/4+180,AB190/4-180)</f>
        <v>103.519239570491</v>
      </c>
      <c r="AD190" s="0" t="n">
        <f aca="false">DEGREES(ACOS(SIN(RADIANS($B$3))*SIN(RADIANS(T190))+COS(RADIANS($B$3))*COS(RADIANS(T190))*COS(RADIANS(AC190))))</f>
        <v>113.803085947954</v>
      </c>
      <c r="AE190" s="0" t="n">
        <f aca="false">90-AD190</f>
        <v>-23.8030859479541</v>
      </c>
      <c r="AF190" s="0" t="n">
        <f aca="false">IF(AE190&gt;85,0,IF(AE190&gt;5,58.1/TAN(RADIANS(AE190))-0.07/POWER(TAN(RADIANS(AE190)),3)+0.000086/POWER(TAN(RADIANS(AE190)),5),IF(AE190&gt;-0.575,1735+AE190*(-518.2+AE190*(103.4+AE190*(-12.79+AE190*0.711))),-20.772/TAN(RADIANS(AE190)))))/3600</f>
        <v>0.0130804331534593</v>
      </c>
      <c r="AG190" s="0" t="n">
        <f aca="false">AE190+AF190</f>
        <v>-23.7900055148006</v>
      </c>
      <c r="AH190" s="0" t="n">
        <f aca="false">IF(AC190&gt;0,MOD(DEGREES(ACOS(((SIN(RADIANS($B$3))*COS(RADIANS(AD190)))-SIN(RADIANS(T190)))/(COS(RADIANS($B$3))*SIN(RADIANS(AD190)))))+180,360),MOD(540-DEGREES(ACOS(((SIN(RADIANS($B$3))*COS(RADIANS(AD190)))-SIN(RADIANS(T190)))/(COS(RADIANS($B$3))*SIN(RADIANS(AD190))))),360))</f>
        <v>273.171655712219</v>
      </c>
    </row>
    <row r="191" customFormat="false" ht="15" hidden="false" customHeight="false" outlineLevel="0" collapsed="false">
      <c r="D191" s="6" t="n">
        <f aca="false">$B$7</f>
        <v>44886</v>
      </c>
      <c r="E191" s="7" t="n">
        <f aca="false">E190+0.1/24</f>
        <v>0.791666666666665</v>
      </c>
      <c r="F191" s="8" t="n">
        <f aca="false">D191+2415018.5+E191-$B$5/24</f>
        <v>2459905.25</v>
      </c>
      <c r="G191" s="9" t="n">
        <f aca="false">(F191-2451545)/36525</f>
        <v>0.228891170431212</v>
      </c>
      <c r="I191" s="0" t="n">
        <f aca="false">MOD(280.46646+G191*(36000.76983+G191*0.0003032),360)</f>
        <v>240.724818698347</v>
      </c>
      <c r="J191" s="0" t="n">
        <f aca="false">357.52911+G191*(35999.05029-0.0001537*G191)</f>
        <v>8597.39385723762</v>
      </c>
      <c r="K191" s="0" t="n">
        <f aca="false">0.016708634-G191*(0.000042037+0.0000001267*G191)</f>
        <v>0.0166990054639076</v>
      </c>
      <c r="L191" s="0" t="n">
        <f aca="false">SIN(RADIANS(J191))*(1.914602-G191*(0.004817+0.000014*G191))+SIN(RADIANS(2*J191))*(0.019993-0.000101*G191)+SIN(RADIANS(3*J191))*0.000289</f>
        <v>-1.31548078908656</v>
      </c>
      <c r="M191" s="0" t="n">
        <f aca="false">I191+L191</f>
        <v>239.40933790926</v>
      </c>
      <c r="N191" s="0" t="n">
        <f aca="false">J191+L191</f>
        <v>8596.07837644854</v>
      </c>
      <c r="O191" s="0" t="n">
        <f aca="false">(1.000001018*(1-K191*K191))/(1+K191*COS(RADIANS(N191)))</f>
        <v>0.987840303070338</v>
      </c>
      <c r="P191" s="0" t="n">
        <f aca="false">M191-0.00569-0.00478*SIN(RADIANS(125.04-1934.136*G191))</f>
        <v>239.400428852302</v>
      </c>
      <c r="Q191" s="0" t="n">
        <f aca="false">23+(26+((21.448-G191*(46.815+G191*(0.00059-G191*0.001813))))/60)/60</f>
        <v>23.4363145696352</v>
      </c>
      <c r="R191" s="0" t="n">
        <f aca="false">Q191+0.00256*COS(RADIANS(125.04-1934.136*G191))</f>
        <v>23.4382070221515</v>
      </c>
      <c r="S191" s="0" t="n">
        <f aca="false">DEGREES(ATAN2(COS(RADIANS(P191)),COS(RADIANS(R191))*SIN(RADIANS(P191))))</f>
        <v>-122.804701401</v>
      </c>
      <c r="T191" s="0" t="n">
        <f aca="false">DEGREES(ASIN(SIN(RADIANS(R191))*SIN(RADIANS(P191))))</f>
        <v>-20.0213386348235</v>
      </c>
      <c r="U191" s="0" t="n">
        <f aca="false">TAN(RADIANS(R191/2))*TAN(RADIANS(R191/2))</f>
        <v>0.0430304353628372</v>
      </c>
      <c r="V191" s="0" t="n">
        <f aca="false">4*DEGREES(U191*SIN(2*RADIANS(I191))-2*K191*SIN(RADIANS(J191))+4*K191*U191*SIN(RADIANS(J191))*COS(2*RADIANS(I191))-0.5*U191*U191*SIN(4*RADIANS(I191))-1.25*K191*K191*SIN(2*RADIANS(J191)))</f>
        <v>14.0958801381833</v>
      </c>
      <c r="W191" s="0" t="n">
        <f aca="false">DEGREES(ACOS(COS(RADIANS(90.833))/(COS(RADIANS($B$3))*COS(RADIANS(T191)))-TAN(RADIANS($B$3))*TAN(RADIANS(T191))))</f>
        <v>43.3727157285817</v>
      </c>
      <c r="X191" s="7" t="n">
        <f aca="false">(720-4*$B$4-V191+$B$5*60)/1440</f>
        <v>0.499947305459595</v>
      </c>
      <c r="Y191" s="7" t="n">
        <f aca="false">X191-W191*4/1440</f>
        <v>0.379467539546868</v>
      </c>
      <c r="Z191" s="7" t="n">
        <f aca="false">X191+W191*4/1440</f>
        <v>0.620427071372322</v>
      </c>
      <c r="AA191" s="10" t="n">
        <f aca="false">8*W191</f>
        <v>346.981725828654</v>
      </c>
      <c r="AB191" s="0" t="n">
        <f aca="false">MOD(E191*1440+V191+4*$B$4-60*$B$5,1440)</f>
        <v>1140.07588013818</v>
      </c>
      <c r="AC191" s="0" t="n">
        <f aca="false">IF(AB191/4&lt;0,AB191/4+180,AB191/4-180)</f>
        <v>105.018970034545</v>
      </c>
      <c r="AD191" s="0" t="n">
        <f aca="false">DEGREES(ACOS(SIN(RADIANS($B$3))*SIN(RADIANS(T191))+COS(RADIANS($B$3))*COS(RADIANS(T191))*COS(RADIANS(AC191))))</f>
        <v>114.448866263268</v>
      </c>
      <c r="AE191" s="0" t="n">
        <f aca="false">90-AD191</f>
        <v>-24.448866263268</v>
      </c>
      <c r="AF191" s="0" t="n">
        <f aca="false">IF(AE191&gt;85,0,IF(AE191&gt;5,58.1/TAN(RADIANS(AE191))-0.07/POWER(TAN(RADIANS(AE191)),3)+0.000086/POWER(TAN(RADIANS(AE191)),5),IF(AE191&gt;-0.575,1735+AE191*(-518.2+AE191*(103.4+AE191*(-12.79+AE191*0.711))),-20.772/TAN(RADIANS(AE191)))))/3600</f>
        <v>0.0126911120028108</v>
      </c>
      <c r="AG191" s="0" t="n">
        <f aca="false">AE191+AF191</f>
        <v>-24.4361751512652</v>
      </c>
      <c r="AH191" s="0" t="n">
        <f aca="false">IF(AC191&gt;0,MOD(DEGREES(ACOS(((SIN(RADIANS($B$3))*COS(RADIANS(AD191)))-SIN(RADIANS(T191)))/(COS(RADIANS($B$3))*SIN(RADIANS(AD191)))))+180,360),MOD(540-DEGREES(ACOS(((SIN(RADIANS($B$3))*COS(RADIANS(AD191)))-SIN(RADIANS(T191)))/(COS(RADIANS($B$3))*SIN(RADIANS(AD191))))),360))</f>
        <v>274.543945628038</v>
      </c>
    </row>
    <row r="192" customFormat="false" ht="15" hidden="false" customHeight="false" outlineLevel="0" collapsed="false">
      <c r="D192" s="6" t="n">
        <f aca="false">$B$7</f>
        <v>44886</v>
      </c>
      <c r="E192" s="7" t="n">
        <f aca="false">E191+0.1/24</f>
        <v>0.795833333333332</v>
      </c>
      <c r="F192" s="8" t="n">
        <f aca="false">D192+2415018.5+E192-$B$5/24</f>
        <v>2459905.25416667</v>
      </c>
      <c r="G192" s="9" t="n">
        <f aca="false">(F192-2451545)/36525</f>
        <v>0.228891284508334</v>
      </c>
      <c r="I192" s="0" t="n">
        <f aca="false">MOD(280.46646+G192*(36000.76983+G192*0.0003032),360)</f>
        <v>240.728925562578</v>
      </c>
      <c r="J192" s="0" t="n">
        <f aca="false">357.52911+G192*(35999.05029-0.0001537*G192)</f>
        <v>8597.39796390567</v>
      </c>
      <c r="K192" s="0" t="n">
        <f aca="false">0.016708634-G192*(0.000042037+0.0000001267*G192)</f>
        <v>0.0166990054591055</v>
      </c>
      <c r="L192" s="0" t="n">
        <f aca="false">SIN(RADIANS(J192))*(1.914602-G192*(0.004817+0.000014*G192))+SIN(RADIANS(2*J192))*(0.019993-0.000101*G192)+SIN(RADIANS(3*J192))*0.000289</f>
        <v>-1.31537963873243</v>
      </c>
      <c r="M192" s="0" t="n">
        <f aca="false">I192+L192</f>
        <v>239.413545923846</v>
      </c>
      <c r="N192" s="0" t="n">
        <f aca="false">J192+L192</f>
        <v>8596.08258426694</v>
      </c>
      <c r="O192" s="0" t="n">
        <f aca="false">(1.000001018*(1-K192*K192))/(1+K192*COS(RADIANS(N192)))</f>
        <v>0.987839472731044</v>
      </c>
      <c r="P192" s="0" t="n">
        <f aca="false">M192-0.00569-0.00478*SIN(RADIANS(125.04-1934.136*G192))</f>
        <v>239.404636880495</v>
      </c>
      <c r="Q192" s="0" t="n">
        <f aca="false">23+(26+((21.448-G192*(46.815+G192*(0.00059-G192*0.001813))))/60)/60</f>
        <v>23.4363145681517</v>
      </c>
      <c r="R192" s="0" t="n">
        <f aca="false">Q192+0.00256*COS(RADIANS(125.04-1934.136*G192))</f>
        <v>23.4382070273071</v>
      </c>
      <c r="S192" s="0" t="n">
        <f aca="false">DEGREES(ATAN2(COS(RADIANS(P192)),COS(RADIANS(R192))*SIN(RADIANS(P192))))</f>
        <v>-122.800327908719</v>
      </c>
      <c r="T192" s="0" t="n">
        <f aca="false">DEGREES(ASIN(SIN(RADIANS(R192))*SIN(RADIANS(P192))))</f>
        <v>-20.0222454036763</v>
      </c>
      <c r="U192" s="0" t="n">
        <f aca="false">TAN(RADIANS(R192/2))*TAN(RADIANS(R192/2))</f>
        <v>0.0430304353823058</v>
      </c>
      <c r="V192" s="0" t="n">
        <f aca="false">4*DEGREES(U192*SIN(2*RADIANS(I192))-2*K192*SIN(RADIANS(J192))+4*K192*U192*SIN(RADIANS(J192))*COS(2*RADIANS(I192))-0.5*U192*U192*SIN(4*RADIANS(I192))-1.25*K192*K192*SIN(2*RADIANS(J192)))</f>
        <v>14.0948017631227</v>
      </c>
      <c r="W192" s="0" t="n">
        <f aca="false">DEGREES(ACOS(COS(RADIANS(90.833))/(COS(RADIANS($B$3))*COS(RADIANS(T192)))-TAN(RADIANS($B$3))*TAN(RADIANS(T192))))</f>
        <v>43.3696018392988</v>
      </c>
      <c r="X192" s="7" t="n">
        <f aca="false">(720-4*$B$4-V192+$B$5*60)/1440</f>
        <v>0.499948054331165</v>
      </c>
      <c r="Y192" s="7" t="n">
        <f aca="false">X192-W192*4/1440</f>
        <v>0.379476938110891</v>
      </c>
      <c r="Z192" s="7" t="n">
        <f aca="false">X192+W192*4/1440</f>
        <v>0.620419170551439</v>
      </c>
      <c r="AA192" s="10" t="n">
        <f aca="false">8*W192</f>
        <v>346.95681471439</v>
      </c>
      <c r="AB192" s="0" t="n">
        <f aca="false">MOD(E192*1440+V192+4*$B$4-60*$B$5,1440)</f>
        <v>1146.07480176312</v>
      </c>
      <c r="AC192" s="0" t="n">
        <f aca="false">IF(AB192/4&lt;0,AB192/4+180,AB192/4-180)</f>
        <v>106.51870044078</v>
      </c>
      <c r="AD192" s="0" t="n">
        <f aca="false">DEGREES(ACOS(SIN(RADIANS($B$3))*SIN(RADIANS(T192))+COS(RADIANS($B$3))*COS(RADIANS(T192))*COS(RADIANS(AC192))))</f>
        <v>115.093416344498</v>
      </c>
      <c r="AE192" s="0" t="n">
        <f aca="false">90-AD192</f>
        <v>-25.0934163444982</v>
      </c>
      <c r="AF192" s="0" t="n">
        <f aca="false">IF(AE192&gt;85,0,IF(AE192&gt;5,58.1/TAN(RADIANS(AE192))-0.07/POWER(TAN(RADIANS(AE192)),3)+0.000086/POWER(TAN(RADIANS(AE192)),5),IF(AE192&gt;-0.575,1735+AE192*(-518.2+AE192*(103.4+AE192*(-12.79+AE192*0.711))),-20.772/TAN(RADIANS(AE192)))))/3600</f>
        <v>0.0123213164421371</v>
      </c>
      <c r="AG192" s="0" t="n">
        <f aca="false">AE192+AF192</f>
        <v>-25.0810950280561</v>
      </c>
      <c r="AH192" s="0" t="n">
        <f aca="false">IF(AC192&gt;0,MOD(DEGREES(ACOS(((SIN(RADIANS($B$3))*COS(RADIANS(AD192)))-SIN(RADIANS(T192)))/(COS(RADIANS($B$3))*SIN(RADIANS(AD192)))))+180,360),MOD(540-DEGREES(ACOS(((SIN(RADIANS($B$3))*COS(RADIANS(AD192)))-SIN(RADIANS(T192)))/(COS(RADIANS($B$3))*SIN(RADIANS(AD192))))),360))</f>
        <v>275.923967170676</v>
      </c>
    </row>
    <row r="193" customFormat="false" ht="15" hidden="false" customHeight="false" outlineLevel="0" collapsed="false">
      <c r="D193" s="6" t="n">
        <f aca="false">$B$7</f>
        <v>44886</v>
      </c>
      <c r="E193" s="7" t="n">
        <f aca="false">E192+0.1/24</f>
        <v>0.799999999999998</v>
      </c>
      <c r="F193" s="8" t="n">
        <f aca="false">D193+2415018.5+E193-$B$5/24</f>
        <v>2459905.25833333</v>
      </c>
      <c r="G193" s="9" t="n">
        <f aca="false">(F193-2451545)/36525</f>
        <v>0.228891398585443</v>
      </c>
      <c r="I193" s="0" t="n">
        <f aca="false">MOD(280.46646+G193*(36000.76983+G193*0.0003032),360)</f>
        <v>240.733032426351</v>
      </c>
      <c r="J193" s="0" t="n">
        <f aca="false">357.52911+G193*(35999.05029-0.0001537*G193)</f>
        <v>8597.40207057326</v>
      </c>
      <c r="K193" s="0" t="n">
        <f aca="false">0.016708634-G193*(0.000042037+0.0000001267*G193)</f>
        <v>0.0166990054543035</v>
      </c>
      <c r="L193" s="0" t="n">
        <f aca="false">SIN(RADIANS(J193))*(1.914602-G193*(0.004817+0.000014*G193))+SIN(RADIANS(2*J193))*(0.019993-0.000101*G193)+SIN(RADIANS(3*J193))*0.000289</f>
        <v>-1.31527848131611</v>
      </c>
      <c r="M193" s="0" t="n">
        <f aca="false">I193+L193</f>
        <v>239.417753945035</v>
      </c>
      <c r="N193" s="0" t="n">
        <f aca="false">J193+L193</f>
        <v>8596.08679209194</v>
      </c>
      <c r="O193" s="0" t="n">
        <f aca="false">(1.000001018*(1-K193*K193))/(1+K193*COS(RADIANS(N193)))</f>
        <v>0.987838642455169</v>
      </c>
      <c r="P193" s="0" t="n">
        <f aca="false">M193-0.00569-0.00478*SIN(RADIANS(125.04-1934.136*G193))</f>
        <v>239.408844915292</v>
      </c>
      <c r="Q193" s="0" t="n">
        <f aca="false">23+(26+((21.448-G193*(46.815+G193*(0.00059-G193*0.001813))))/60)/60</f>
        <v>23.4363145666683</v>
      </c>
      <c r="R193" s="0" t="n">
        <f aca="false">Q193+0.00256*COS(RADIANS(125.04-1934.136*G193))</f>
        <v>23.4382070324626</v>
      </c>
      <c r="S193" s="0" t="n">
        <f aca="false">DEGREES(ATAN2(COS(RADIANS(P193)),COS(RADIANS(R193))*SIN(RADIANS(P193))))</f>
        <v>-122.795954359133</v>
      </c>
      <c r="T193" s="0" t="n">
        <f aca="false">DEGREES(ASIN(SIN(RADIANS(R193))*SIN(RADIANS(P193))))</f>
        <v>-20.0231520665586</v>
      </c>
      <c r="U193" s="0" t="n">
        <f aca="false">TAN(RADIANS(R193/2))*TAN(RADIANS(R193/2))</f>
        <v>0.0430304354017743</v>
      </c>
      <c r="V193" s="0" t="n">
        <f aca="false">4*DEGREES(U193*SIN(2*RADIANS(I193))-2*K193*SIN(RADIANS(J193))+4*K193*U193*SIN(RADIANS(J193))*COS(2*RADIANS(I193))-0.5*U193*U193*SIN(4*RADIANS(I193))-1.25*K193*K193*SIN(2*RADIANS(J193)))</f>
        <v>14.0937231570381</v>
      </c>
      <c r="W193" s="0" t="n">
        <f aca="false">DEGREES(ACOS(COS(RADIANS(90.833))/(COS(RADIANS($B$3))*COS(RADIANS(T193)))-TAN(RADIANS($B$3))*TAN(RADIANS(T193))))</f>
        <v>43.3664880996323</v>
      </c>
      <c r="X193" s="7" t="n">
        <f aca="false">(720-4*$B$4-V193+$B$5*60)/1440</f>
        <v>0.499948803363168</v>
      </c>
      <c r="Y193" s="7" t="n">
        <f aca="false">X193-W193*4/1440</f>
        <v>0.379486336419745</v>
      </c>
      <c r="Z193" s="7" t="n">
        <f aca="false">X193+W193*4/1440</f>
        <v>0.620411270306591</v>
      </c>
      <c r="AA193" s="10" t="n">
        <f aca="false">8*W193</f>
        <v>346.931904797059</v>
      </c>
      <c r="AB193" s="0" t="n">
        <f aca="false">MOD(E193*1440+V193+4*$B$4-60*$B$5,1440)</f>
        <v>1152.07372315704</v>
      </c>
      <c r="AC193" s="0" t="n">
        <f aca="false">IF(AB193/4&lt;0,AB193/4+180,AB193/4-180)</f>
        <v>108.018430789259</v>
      </c>
      <c r="AD193" s="0" t="n">
        <f aca="false">DEGREES(ACOS(SIN(RADIANS($B$3))*SIN(RADIANS(T193))+COS(RADIANS($B$3))*COS(RADIANS(T193))*COS(RADIANS(AC193))))</f>
        <v>115.736354635783</v>
      </c>
      <c r="AE193" s="0" t="n">
        <f aca="false">90-AD193</f>
        <v>-25.7363546357826</v>
      </c>
      <c r="AF193" s="0" t="n">
        <f aca="false">IF(AE193&gt;85,0,IF(AE193&gt;5,58.1/TAN(RADIANS(AE193))-0.07/POWER(TAN(RADIANS(AE193)),3)+0.000086/POWER(TAN(RADIANS(AE193)),5),IF(AE193&gt;-0.575,1735+AE193*(-518.2+AE193*(103.4+AE193*(-12.79+AE193*0.711))),-20.772/TAN(RADIANS(AE193)))))/3600</f>
        <v>0.0119697323066846</v>
      </c>
      <c r="AG193" s="0" t="n">
        <f aca="false">AE193+AF193</f>
        <v>-25.7243849034759</v>
      </c>
      <c r="AH193" s="0" t="n">
        <f aca="false">IF(AC193&gt;0,MOD(DEGREES(ACOS(((SIN(RADIANS($B$3))*COS(RADIANS(AD193)))-SIN(RADIANS(T193)))/(COS(RADIANS($B$3))*SIN(RADIANS(AD193)))))+180,360),MOD(540-DEGREES(ACOS(((SIN(RADIANS($B$3))*COS(RADIANS(AD193)))-SIN(RADIANS(T193)))/(COS(RADIANS($B$3))*SIN(RADIANS(AD193))))),360))</f>
        <v>277.312175684102</v>
      </c>
    </row>
    <row r="194" customFormat="false" ht="15" hidden="false" customHeight="false" outlineLevel="0" collapsed="false">
      <c r="D194" s="6" t="n">
        <f aca="false">$B$7</f>
        <v>44886</v>
      </c>
      <c r="E194" s="7" t="n">
        <f aca="false">E193+0.1/24</f>
        <v>0.804166666666665</v>
      </c>
      <c r="F194" s="8" t="n">
        <f aca="false">D194+2415018.5+E194-$B$5/24</f>
        <v>2459905.2625</v>
      </c>
      <c r="G194" s="9" t="n">
        <f aca="false">(F194-2451545)/36525</f>
        <v>0.228891512662565</v>
      </c>
      <c r="I194" s="0" t="n">
        <f aca="false">MOD(280.46646+G194*(36000.76983+G194*0.0003032),360)</f>
        <v>240.737139290583</v>
      </c>
      <c r="J194" s="0" t="n">
        <f aca="false">357.52911+G194*(35999.05029-0.0001537*G194)</f>
        <v>8597.4061772413</v>
      </c>
      <c r="K194" s="0" t="n">
        <f aca="false">0.016708634-G194*(0.000042037+0.0000001267*G194)</f>
        <v>0.0166990054495014</v>
      </c>
      <c r="L194" s="0" t="n">
        <f aca="false">SIN(RADIANS(J194))*(1.914602-G194*(0.004817+0.000014*G194))+SIN(RADIANS(2*J194))*(0.019993-0.000101*G194)+SIN(RADIANS(3*J194))*0.000289</f>
        <v>-1.31517731681541</v>
      </c>
      <c r="M194" s="0" t="n">
        <f aca="false">I194+L194</f>
        <v>239.421961973767</v>
      </c>
      <c r="N194" s="0" t="n">
        <f aca="false">J194+L194</f>
        <v>8596.09099992449</v>
      </c>
      <c r="O194" s="0" t="n">
        <f aca="false">(1.000001018*(1-K194*K194))/(1+K194*COS(RADIANS(N194)))</f>
        <v>0.987837812242534</v>
      </c>
      <c r="P194" s="0" t="n">
        <f aca="false">M194-0.00569-0.00478*SIN(RADIANS(125.04-1934.136*G194))</f>
        <v>239.413052957632</v>
      </c>
      <c r="Q194" s="0" t="n">
        <f aca="false">23+(26+((21.448-G194*(46.815+G194*(0.00059-G194*0.001813))))/60)/60</f>
        <v>23.4363145651848</v>
      </c>
      <c r="R194" s="0" t="n">
        <f aca="false">Q194+0.00256*COS(RADIANS(125.04-1934.136*G194))</f>
        <v>23.438207037618</v>
      </c>
      <c r="S194" s="0" t="n">
        <f aca="false">DEGREES(ATAN2(COS(RADIANS(P194)),COS(RADIANS(R194))*SIN(RADIANS(P194))))</f>
        <v>-122.791580751266</v>
      </c>
      <c r="T194" s="0" t="n">
        <f aca="false">DEGREES(ASIN(SIN(RADIANS(R194))*SIN(RADIANS(P194))))</f>
        <v>-20.0240586236658</v>
      </c>
      <c r="U194" s="0" t="n">
        <f aca="false">TAN(RADIANS(R194/2))*TAN(RADIANS(R194/2))</f>
        <v>0.0430304354212427</v>
      </c>
      <c r="V194" s="0" t="n">
        <f aca="false">4*DEGREES(U194*SIN(2*RADIANS(I194))-2*K194*SIN(RADIANS(J194))+4*K194*U194*SIN(RADIANS(J194))*COS(2*RADIANS(I194))-0.5*U194*U194*SIN(4*RADIANS(I194))-1.25*K194*K194*SIN(2*RADIANS(J194)))</f>
        <v>14.0926443197025</v>
      </c>
      <c r="W194" s="0" t="n">
        <f aca="false">DEGREES(ACOS(COS(RADIANS(90.833))/(COS(RADIANS($B$3))*COS(RADIANS(T194)))-TAN(RADIANS($B$3))*TAN(RADIANS(T194))))</f>
        <v>43.3633745089386</v>
      </c>
      <c r="X194" s="7" t="n">
        <f aca="false">(720-4*$B$4-V194+$B$5*60)/1440</f>
        <v>0.499949552555762</v>
      </c>
      <c r="Y194" s="7" t="n">
        <f aca="false">X194-W194*4/1440</f>
        <v>0.379495734475377</v>
      </c>
      <c r="Z194" s="7" t="n">
        <f aca="false">X194+W194*4/1440</f>
        <v>0.620403370636147</v>
      </c>
      <c r="AA194" s="10" t="n">
        <f aca="false">8*W194</f>
        <v>346.906996071509</v>
      </c>
      <c r="AB194" s="0" t="n">
        <f aca="false">MOD(E194*1440+V194+4*$B$4-60*$B$5,1440)</f>
        <v>1158.0726443197</v>
      </c>
      <c r="AC194" s="0" t="n">
        <f aca="false">IF(AB194/4&lt;0,AB194/4+180,AB194/4-180)</f>
        <v>109.518161079925</v>
      </c>
      <c r="AD194" s="0" t="n">
        <f aca="false">DEGREES(ACOS(SIN(RADIANS($B$3))*SIN(RADIANS(T194))+COS(RADIANS($B$3))*COS(RADIANS(T194))*COS(RADIANS(AC194))))</f>
        <v>116.377293332153</v>
      </c>
      <c r="AE194" s="0" t="n">
        <f aca="false">90-AD194</f>
        <v>-26.377293332153</v>
      </c>
      <c r="AF194" s="0" t="n">
        <f aca="false">IF(AE194&gt;85,0,IF(AE194&gt;5,58.1/TAN(RADIANS(AE194))-0.07/POWER(TAN(RADIANS(AE194)),3)+0.000086/POWER(TAN(RADIANS(AE194)),5),IF(AE194&gt;-0.575,1735+AE194*(-518.2+AE194*(103.4+AE194*(-12.79+AE194*0.711))),-20.772/TAN(RADIANS(AE194)))))/3600</f>
        <v>0.0116351652887752</v>
      </c>
      <c r="AG194" s="0" t="n">
        <f aca="false">AE194+AF194</f>
        <v>-26.3656581668643</v>
      </c>
      <c r="AH194" s="0" t="n">
        <f aca="false">IF(AC194&gt;0,MOD(DEGREES(ACOS(((SIN(RADIANS($B$3))*COS(RADIANS(AD194)))-SIN(RADIANS(T194)))/(COS(RADIANS($B$3))*SIN(RADIANS(AD194)))))+180,360),MOD(540-DEGREES(ACOS(((SIN(RADIANS($B$3))*COS(RADIANS(AD194)))-SIN(RADIANS(T194)))/(COS(RADIANS($B$3))*SIN(RADIANS(AD194))))),360))</f>
        <v>278.709031408925</v>
      </c>
    </row>
    <row r="195" customFormat="false" ht="15" hidden="false" customHeight="false" outlineLevel="0" collapsed="false">
      <c r="D195" s="6" t="n">
        <f aca="false">$B$7</f>
        <v>44886</v>
      </c>
      <c r="E195" s="7" t="n">
        <f aca="false">E194+0.1/24</f>
        <v>0.808333333333332</v>
      </c>
      <c r="F195" s="8" t="n">
        <f aca="false">D195+2415018.5+E195-$B$5/24</f>
        <v>2459905.26666667</v>
      </c>
      <c r="G195" s="9" t="n">
        <f aca="false">(F195-2451545)/36525</f>
        <v>0.228891626739674</v>
      </c>
      <c r="I195" s="0" t="n">
        <f aca="false">MOD(280.46646+G195*(36000.76983+G195*0.0003032),360)</f>
        <v>240.741246154352</v>
      </c>
      <c r="J195" s="0" t="n">
        <f aca="false">357.52911+G195*(35999.05029-0.0001537*G195)</f>
        <v>8597.41028390889</v>
      </c>
      <c r="K195" s="0" t="n">
        <f aca="false">0.016708634-G195*(0.000042037+0.0000001267*G195)</f>
        <v>0.0166990054446993</v>
      </c>
      <c r="L195" s="0" t="n">
        <f aca="false">SIN(RADIANS(J195))*(1.914602-G195*(0.004817+0.000014*G195))+SIN(RADIANS(2*J195))*(0.019993-0.000101*G195)+SIN(RADIANS(3*J195))*0.000289</f>
        <v>-1.31507614525368</v>
      </c>
      <c r="M195" s="0" t="n">
        <f aca="false">I195+L195</f>
        <v>239.426170009098</v>
      </c>
      <c r="N195" s="0" t="n">
        <f aca="false">J195+L195</f>
        <v>8596.09520776363</v>
      </c>
      <c r="O195" s="0" t="n">
        <f aca="false">(1.000001018*(1-K195*K195))/(1+K195*COS(RADIANS(N195)))</f>
        <v>0.987836982093329</v>
      </c>
      <c r="P195" s="0" t="n">
        <f aca="false">M195-0.00569-0.00478*SIN(RADIANS(125.04-1934.136*G195))</f>
        <v>239.41726100657</v>
      </c>
      <c r="Q195" s="0" t="n">
        <f aca="false">23+(26+((21.448-G195*(46.815+G195*(0.00059-G195*0.001813))))/60)/60</f>
        <v>23.4363145637013</v>
      </c>
      <c r="R195" s="0" t="n">
        <f aca="false">Q195+0.00256*COS(RADIANS(125.04-1934.136*G195))</f>
        <v>23.4382070427735</v>
      </c>
      <c r="S195" s="0" t="n">
        <f aca="false">DEGREES(ATAN2(COS(RADIANS(P195)),COS(RADIANS(R195))*SIN(RADIANS(P195))))</f>
        <v>-122.787207086104</v>
      </c>
      <c r="T195" s="0" t="n">
        <f aca="false">DEGREES(ASIN(SIN(RADIANS(R195))*SIN(RADIANS(P195))))</f>
        <v>-20.0249650747874</v>
      </c>
      <c r="U195" s="0" t="n">
        <f aca="false">TAN(RADIANS(R195/2))*TAN(RADIANS(R195/2))</f>
        <v>0.0430304354407111</v>
      </c>
      <c r="V195" s="0" t="n">
        <f aca="false">4*DEGREES(U195*SIN(2*RADIANS(I195))-2*K195*SIN(RADIANS(J195))+4*K195*U195*SIN(RADIANS(J195))*COS(2*RADIANS(I195))-0.5*U195*U195*SIN(4*RADIANS(I195))-1.25*K195*K195*SIN(2*RADIANS(J195)))</f>
        <v>14.0915652513725</v>
      </c>
      <c r="W195" s="0" t="n">
        <f aca="false">DEGREES(ACOS(COS(RADIANS(90.833))/(COS(RADIANS($B$3))*COS(RADIANS(T195)))-TAN(RADIANS($B$3))*TAN(RADIANS(T195))))</f>
        <v>43.3602610679667</v>
      </c>
      <c r="X195" s="7" t="n">
        <f aca="false">(720-4*$B$4-V195+$B$5*60)/1440</f>
        <v>0.499950301908769</v>
      </c>
      <c r="Y195" s="7" t="n">
        <f aca="false">X195-W195*4/1440</f>
        <v>0.379505132275528</v>
      </c>
      <c r="Z195" s="7" t="n">
        <f aca="false">X195+W195*4/1440</f>
        <v>0.62039547154201</v>
      </c>
      <c r="AA195" s="10" t="n">
        <f aca="false">8*W195</f>
        <v>346.882088543734</v>
      </c>
      <c r="AB195" s="0" t="n">
        <f aca="false">MOD(E195*1440+V195+4*$B$4-60*$B$5,1440)</f>
        <v>1164.07156525137</v>
      </c>
      <c r="AC195" s="0" t="n">
        <f aca="false">IF(AB195/4&lt;0,AB195/4+180,AB195/4-180)</f>
        <v>111.017891312843</v>
      </c>
      <c r="AD195" s="0" t="n">
        <f aca="false">DEGREES(ACOS(SIN(RADIANS($B$3))*SIN(RADIANS(T195))+COS(RADIANS($B$3))*COS(RADIANS(T195))*COS(RADIANS(AC195))))</f>
        <v>117.015838091492</v>
      </c>
      <c r="AE195" s="0" t="n">
        <f aca="false">90-AD195</f>
        <v>-27.0158380914921</v>
      </c>
      <c r="AF195" s="0" t="n">
        <f aca="false">IF(AE195&gt;85,0,IF(AE195&gt;5,58.1/TAN(RADIANS(AE195))-0.07/POWER(TAN(RADIANS(AE195)),3)+0.000086/POWER(TAN(RADIANS(AE195)),5),IF(AE195&gt;-0.575,1735+AE195*(-518.2+AE195*(103.4+AE195*(-12.79+AE195*0.711))),-20.772/TAN(RADIANS(AE195)))))/3600</f>
        <v>0.0113165282108518</v>
      </c>
      <c r="AG195" s="0" t="n">
        <f aca="false">AE195+AF195</f>
        <v>-27.0045215632812</v>
      </c>
      <c r="AH195" s="0" t="n">
        <f aca="false">IF(AC195&gt;0,MOD(DEGREES(ACOS(((SIN(RADIANS($B$3))*COS(RADIANS(AD195)))-SIN(RADIANS(T195)))/(COS(RADIANS($B$3))*SIN(RADIANS(AD195)))))+180,360),MOD(540-DEGREES(ACOS(((SIN(RADIANS($B$3))*COS(RADIANS(AD195)))-SIN(RADIANS(T195)))/(COS(RADIANS($B$3))*SIN(RADIANS(AD195))))),360))</f>
        <v>280.11499884107</v>
      </c>
    </row>
    <row r="196" customFormat="false" ht="15" hidden="false" customHeight="false" outlineLevel="0" collapsed="false">
      <c r="D196" s="6" t="n">
        <f aca="false">$B$7</f>
        <v>44886</v>
      </c>
      <c r="E196" s="7" t="n">
        <f aca="false">E195+0.1/24</f>
        <v>0.812499999999998</v>
      </c>
      <c r="F196" s="8" t="n">
        <f aca="false">D196+2415018.5+E196-$B$5/24</f>
        <v>2459905.27083333</v>
      </c>
      <c r="G196" s="9" t="n">
        <f aca="false">(F196-2451545)/36525</f>
        <v>0.228891740816796</v>
      </c>
      <c r="I196" s="0" t="n">
        <f aca="false">MOD(280.46646+G196*(36000.76983+G196*0.0003032),360)</f>
        <v>240.745353018583</v>
      </c>
      <c r="J196" s="0" t="n">
        <f aca="false">357.52911+G196*(35999.05029-0.0001537*G196)</f>
        <v>8597.41439057694</v>
      </c>
      <c r="K196" s="0" t="n">
        <f aca="false">0.016708634-G196*(0.000042037+0.0000001267*G196)</f>
        <v>0.0166990054398972</v>
      </c>
      <c r="L196" s="0" t="n">
        <f aca="false">SIN(RADIANS(J196))*(1.914602-G196*(0.004817+0.000014*G196))+SIN(RADIANS(2*J196))*(0.019993-0.000101*G196)+SIN(RADIANS(3*J196))*0.000289</f>
        <v>-1.31497496660858</v>
      </c>
      <c r="M196" s="0" t="n">
        <f aca="false">I196+L196</f>
        <v>239.430378051974</v>
      </c>
      <c r="N196" s="0" t="n">
        <f aca="false">J196+L196</f>
        <v>8596.09941561033</v>
      </c>
      <c r="O196" s="0" t="n">
        <f aca="false">(1.000001018*(1-K196*K196))/(1+K196*COS(RADIANS(N196)))</f>
        <v>0.987836152007373</v>
      </c>
      <c r="P196" s="0" t="n">
        <f aca="false">M196-0.00569-0.00478*SIN(RADIANS(125.04-1934.136*G196))</f>
        <v>239.421469063054</v>
      </c>
      <c r="Q196" s="0" t="n">
        <f aca="false">23+(26+((21.448-G196*(46.815+G196*(0.00059-G196*0.001813))))/60)/60</f>
        <v>23.4363145622178</v>
      </c>
      <c r="R196" s="0" t="n">
        <f aca="false">Q196+0.00256*COS(RADIANS(125.04-1934.136*G196))</f>
        <v>23.4382070479289</v>
      </c>
      <c r="S196" s="0" t="n">
        <f aca="false">DEGREES(ATAN2(COS(RADIANS(P196)),COS(RADIANS(R196))*SIN(RADIANS(P196))))</f>
        <v>-122.782833362664</v>
      </c>
      <c r="T196" s="0" t="n">
        <f aca="false">DEGREES(ASIN(SIN(RADIANS(R196))*SIN(RADIANS(P196))))</f>
        <v>-20.0258714201202</v>
      </c>
      <c r="U196" s="0" t="n">
        <f aca="false">TAN(RADIANS(R196/2))*TAN(RADIANS(R196/2))</f>
        <v>0.0430304354601792</v>
      </c>
      <c r="V196" s="0" t="n">
        <f aca="false">4*DEGREES(U196*SIN(2*RADIANS(I196))-2*K196*SIN(RADIANS(J196))+4*K196*U196*SIN(RADIANS(J196))*COS(2*RADIANS(I196))-0.5*U196*U196*SIN(4*RADIANS(I196))-1.25*K196*K196*SIN(2*RADIANS(J196)))</f>
        <v>14.0904859518191</v>
      </c>
      <c r="W196" s="0" t="n">
        <f aca="false">DEGREES(ACOS(COS(RADIANS(90.833))/(COS(RADIANS($B$3))*COS(RADIANS(T196)))-TAN(RADIANS($B$3))*TAN(RADIANS(T196))))</f>
        <v>43.3571477760676</v>
      </c>
      <c r="X196" s="7" t="n">
        <f aca="false">(720-4*$B$4-V196+$B$5*60)/1440</f>
        <v>0.499951051422348</v>
      </c>
      <c r="Y196" s="7" t="n">
        <f aca="false">X196-W196*4/1440</f>
        <v>0.37951452982216</v>
      </c>
      <c r="Z196" s="7" t="n">
        <f aca="false">X196+W196*4/1440</f>
        <v>0.620387573022536</v>
      </c>
      <c r="AA196" s="10" t="n">
        <f aca="false">8*W196</f>
        <v>346.857182208541</v>
      </c>
      <c r="AB196" s="0" t="n">
        <f aca="false">MOD(E196*1440+V196+4*$B$4-60*$B$5,1440)</f>
        <v>1170.07048595182</v>
      </c>
      <c r="AC196" s="0" t="n">
        <f aca="false">IF(AB196/4&lt;0,AB196/4+180,AB196/4-180)</f>
        <v>112.517621487954</v>
      </c>
      <c r="AD196" s="0" t="n">
        <f aca="false">DEGREES(ACOS(SIN(RADIANS($B$3))*SIN(RADIANS(T196))+COS(RADIANS($B$3))*COS(RADIANS(T196))*COS(RADIANS(AC196))))</f>
        <v>117.651587752943</v>
      </c>
      <c r="AE196" s="0" t="n">
        <f aca="false">90-AD196</f>
        <v>-27.6515877529427</v>
      </c>
      <c r="AF196" s="0" t="n">
        <f aca="false">IF(AE196&gt;85,0,IF(AE196&gt;5,58.1/TAN(RADIANS(AE196))-0.07/POWER(TAN(RADIANS(AE196)),3)+0.000086/POWER(TAN(RADIANS(AE196)),5),IF(AE196&gt;-0.575,1735+AE196*(-518.2+AE196*(103.4+AE196*(-12.79+AE196*0.711))),-20.772/TAN(RADIANS(AE196)))))/3600</f>
        <v>0.0110128298996692</v>
      </c>
      <c r="AG196" s="0" t="n">
        <f aca="false">AE196+AF196</f>
        <v>-27.6405749230431</v>
      </c>
      <c r="AH196" s="0" t="n">
        <f aca="false">IF(AC196&gt;0,MOD(DEGREES(ACOS(((SIN(RADIANS($B$3))*COS(RADIANS(AD196)))-SIN(RADIANS(T196)))/(COS(RADIANS($B$3))*SIN(RADIANS(AD196)))))+180,360),MOD(540-DEGREES(ACOS(((SIN(RADIANS($B$3))*COS(RADIANS(AD196)))-SIN(RADIANS(T196)))/(COS(RADIANS($B$3))*SIN(RADIANS(AD196))))),360))</f>
        <v>281.530546005247</v>
      </c>
    </row>
    <row r="197" customFormat="false" ht="15" hidden="false" customHeight="false" outlineLevel="0" collapsed="false">
      <c r="D197" s="6" t="n">
        <f aca="false">$B$7</f>
        <v>44886</v>
      </c>
      <c r="E197" s="7" t="n">
        <f aca="false">E196+0.1/24</f>
        <v>0.816666666666665</v>
      </c>
      <c r="F197" s="8" t="n">
        <f aca="false">D197+2415018.5+E197-$B$5/24</f>
        <v>2459905.275</v>
      </c>
      <c r="G197" s="9" t="n">
        <f aca="false">(F197-2451545)/36525</f>
        <v>0.228891854893918</v>
      </c>
      <c r="I197" s="0" t="n">
        <f aca="false">MOD(280.46646+G197*(36000.76983+G197*0.0003032),360)</f>
        <v>240.749459882814</v>
      </c>
      <c r="J197" s="0" t="n">
        <f aca="false">357.52911+G197*(35999.05029-0.0001537*G197)</f>
        <v>8597.41849724498</v>
      </c>
      <c r="K197" s="0" t="n">
        <f aca="false">0.016708634-G197*(0.000042037+0.0000001267*G197)</f>
        <v>0.0166990054350952</v>
      </c>
      <c r="L197" s="0" t="n">
        <f aca="false">SIN(RADIANS(J197))*(1.914602-G197*(0.004817+0.000014*G197))+SIN(RADIANS(2*J197))*(0.019993-0.000101*G197)+SIN(RADIANS(3*J197))*0.000289</f>
        <v>-1.31487378089214</v>
      </c>
      <c r="M197" s="0" t="n">
        <f aca="false">I197+L197</f>
        <v>239.434586101922</v>
      </c>
      <c r="N197" s="0" t="n">
        <f aca="false">J197+L197</f>
        <v>8596.10362346409</v>
      </c>
      <c r="O197" s="0" t="n">
        <f aca="false">(1.000001018*(1-K197*K197))/(1+K197*COS(RADIANS(N197)))</f>
        <v>0.987835321984762</v>
      </c>
      <c r="P197" s="0" t="n">
        <f aca="false">M197-0.00569-0.00478*SIN(RADIANS(125.04-1934.136*G197))</f>
        <v>239.42567712661</v>
      </c>
      <c r="Q197" s="0" t="n">
        <f aca="false">23+(26+((21.448-G197*(46.815+G197*(0.00059-G197*0.001813))))/60)/60</f>
        <v>23.4363145607343</v>
      </c>
      <c r="R197" s="0" t="n">
        <f aca="false">Q197+0.00256*COS(RADIANS(125.04-1934.136*G197))</f>
        <v>23.4382070530843</v>
      </c>
      <c r="S197" s="0" t="n">
        <f aca="false">DEGREES(ATAN2(COS(RADIANS(P197)),COS(RADIANS(R197))*SIN(RADIANS(P197))))</f>
        <v>-122.778459581443</v>
      </c>
      <c r="T197" s="0" t="n">
        <f aca="false">DEGREES(ASIN(SIN(RADIANS(R197))*SIN(RADIANS(P197))))</f>
        <v>-20.0267776595551</v>
      </c>
      <c r="U197" s="0" t="n">
        <f aca="false">TAN(RADIANS(R197/2))*TAN(RADIANS(R197/2))</f>
        <v>0.0430304354796473</v>
      </c>
      <c r="V197" s="0" t="n">
        <f aca="false">4*DEGREES(U197*SIN(2*RADIANS(I197))-2*K197*SIN(RADIANS(J197))+4*K197*U197*SIN(RADIANS(J197))*COS(2*RADIANS(I197))-0.5*U197*U197*SIN(4*RADIANS(I197))-1.25*K197*K197*SIN(2*RADIANS(J197)))</f>
        <v>14.0894064211785</v>
      </c>
      <c r="W197" s="0" t="n">
        <f aca="false">DEGREES(ACOS(COS(RADIANS(90.833))/(COS(RADIANS($B$3))*COS(RADIANS(T197)))-TAN(RADIANS($B$3))*TAN(RADIANS(T197))))</f>
        <v>43.354034633643</v>
      </c>
      <c r="X197" s="7" t="n">
        <f aca="false">(720-4*$B$4-V197+$B$5*60)/1440</f>
        <v>0.499951801096404</v>
      </c>
      <c r="Y197" s="7" t="n">
        <f aca="false">X197-W197*4/1440</f>
        <v>0.379523927114062</v>
      </c>
      <c r="Z197" s="7" t="n">
        <f aca="false">X197+W197*4/1440</f>
        <v>0.620379675078746</v>
      </c>
      <c r="AA197" s="10" t="n">
        <f aca="false">8*W197</f>
        <v>346.832277069144</v>
      </c>
      <c r="AB197" s="0" t="n">
        <f aca="false">MOD(E197*1440+V197+4*$B$4-60*$B$5,1440)</f>
        <v>1176.06940642118</v>
      </c>
      <c r="AC197" s="0" t="n">
        <f aca="false">IF(AB197/4&lt;0,AB197/4+180,AB197/4-180)</f>
        <v>114.017351605294</v>
      </c>
      <c r="AD197" s="0" t="n">
        <f aca="false">DEGREES(ACOS(SIN(RADIANS($B$3))*SIN(RADIANS(T197))+COS(RADIANS($B$3))*COS(RADIANS(T197))*COS(RADIANS(AC197))))</f>
        <v>118.284134062104</v>
      </c>
      <c r="AE197" s="0" t="n">
        <f aca="false">90-AD197</f>
        <v>-28.2841340621042</v>
      </c>
      <c r="AF197" s="0" t="n">
        <f aca="false">IF(AE197&gt;85,0,IF(AE197&gt;5,58.1/TAN(RADIANS(AE197))-0.07/POWER(TAN(RADIANS(AE197)),3)+0.000086/POWER(TAN(RADIANS(AE197)),5),IF(AE197&gt;-0.575,1735+AE197*(-518.2+AE197*(103.4+AE197*(-12.79+AE197*0.711))),-20.772/TAN(RADIANS(AE197)))))/3600</f>
        <v>0.0107231654337729</v>
      </c>
      <c r="AG197" s="0" t="n">
        <f aca="false">AE197+AF197</f>
        <v>-28.2734108966704</v>
      </c>
      <c r="AH197" s="0" t="n">
        <f aca="false">IF(AC197&gt;0,MOD(DEGREES(ACOS(((SIN(RADIANS($B$3))*COS(RADIANS(AD197)))-SIN(RADIANS(T197)))/(COS(RADIANS($B$3))*SIN(RADIANS(AD197)))))+180,360),MOD(540-DEGREES(ACOS(((SIN(RADIANS($B$3))*COS(RADIANS(AD197)))-SIN(RADIANS(T197)))/(COS(RADIANS($B$3))*SIN(RADIANS(AD197))))),360))</f>
        <v>282.956143637036</v>
      </c>
    </row>
    <row r="198" customFormat="false" ht="15" hidden="false" customHeight="false" outlineLevel="0" collapsed="false">
      <c r="D198" s="6" t="n">
        <f aca="false">$B$7</f>
        <v>44886</v>
      </c>
      <c r="E198" s="7" t="n">
        <f aca="false">E197+0.1/24</f>
        <v>0.820833333333332</v>
      </c>
      <c r="F198" s="8" t="n">
        <f aca="false">D198+2415018.5+E198-$B$5/24</f>
        <v>2459905.27916667</v>
      </c>
      <c r="G198" s="9" t="n">
        <f aca="false">(F198-2451545)/36525</f>
        <v>0.228891968971028</v>
      </c>
      <c r="I198" s="0" t="n">
        <f aca="false">MOD(280.46646+G198*(36000.76983+G198*0.0003032),360)</f>
        <v>240.753566746587</v>
      </c>
      <c r="J198" s="0" t="n">
        <f aca="false">357.52911+G198*(35999.05029-0.0001537*G198)</f>
        <v>8597.42260391257</v>
      </c>
      <c r="K198" s="0" t="n">
        <f aca="false">0.016708634-G198*(0.000042037+0.0000001267*G198)</f>
        <v>0.0166990054302931</v>
      </c>
      <c r="L198" s="0" t="n">
        <f aca="false">SIN(RADIANS(J198))*(1.914602-G198*(0.004817+0.000014*G198))+SIN(RADIANS(2*J198))*(0.019993-0.000101*G198)+SIN(RADIANS(3*J198))*0.000289</f>
        <v>-1.31477258811608</v>
      </c>
      <c r="M198" s="0" t="n">
        <f aca="false">I198+L198</f>
        <v>239.438794158471</v>
      </c>
      <c r="N198" s="0" t="n">
        <f aca="false">J198+L198</f>
        <v>8596.10783132445</v>
      </c>
      <c r="O198" s="0" t="n">
        <f aca="false">(1.000001018*(1-K198*K198))/(1+K198*COS(RADIANS(N198)))</f>
        <v>0.987834492025596</v>
      </c>
      <c r="P198" s="0" t="n">
        <f aca="false">M198-0.00569-0.00478*SIN(RADIANS(125.04-1934.136*G198))</f>
        <v>239.429885196766</v>
      </c>
      <c r="Q198" s="0" t="n">
        <f aca="false">23+(26+((21.448-G198*(46.815+G198*(0.00059-G198*0.001813))))/60)/60</f>
        <v>23.4363145592509</v>
      </c>
      <c r="R198" s="0" t="n">
        <f aca="false">Q198+0.00256*COS(RADIANS(125.04-1934.136*G198))</f>
        <v>23.4382070582396</v>
      </c>
      <c r="S198" s="0" t="n">
        <f aca="false">DEGREES(ATAN2(COS(RADIANS(P198)),COS(RADIANS(R198))*SIN(RADIANS(P198))))</f>
        <v>-122.774085742932</v>
      </c>
      <c r="T198" s="0" t="n">
        <f aca="false">DEGREES(ASIN(SIN(RADIANS(R198))*SIN(RADIANS(P198))))</f>
        <v>-20.0276837929838</v>
      </c>
      <c r="U198" s="0" t="n">
        <f aca="false">TAN(RADIANS(R198/2))*TAN(RADIANS(R198/2))</f>
        <v>0.0430304354991153</v>
      </c>
      <c r="V198" s="0" t="n">
        <f aca="false">4*DEGREES(U198*SIN(2*RADIANS(I198))-2*K198*SIN(RADIANS(J198))+4*K198*U198*SIN(RADIANS(J198))*COS(2*RADIANS(I198))-0.5*U198*U198*SIN(4*RADIANS(I198))-1.25*K198*K198*SIN(2*RADIANS(J198)))</f>
        <v>14.0883266595851</v>
      </c>
      <c r="W198" s="0" t="n">
        <f aca="false">DEGREES(ACOS(COS(RADIANS(90.833))/(COS(RADIANS($B$3))*COS(RADIANS(T198)))-TAN(RADIANS($B$3))*TAN(RADIANS(T198))))</f>
        <v>43.3509216410918</v>
      </c>
      <c r="X198" s="7" t="n">
        <f aca="false">(720-4*$B$4-V198+$B$5*60)/1440</f>
        <v>0.499952550930844</v>
      </c>
      <c r="Y198" s="7" t="n">
        <f aca="false">X198-W198*4/1440</f>
        <v>0.379533324150033</v>
      </c>
      <c r="Z198" s="7" t="n">
        <f aca="false">X198+W198*4/1440</f>
        <v>0.620371777711654</v>
      </c>
      <c r="AA198" s="10" t="n">
        <f aca="false">8*W198</f>
        <v>346.807373128734</v>
      </c>
      <c r="AB198" s="0" t="n">
        <f aca="false">MOD(E198*1440+V198+4*$B$4-60*$B$5,1440)</f>
        <v>1182.06832665958</v>
      </c>
      <c r="AC198" s="0" t="n">
        <f aca="false">IF(AB198/4&lt;0,AB198/4+180,AB198/4-180)</f>
        <v>115.517081664896</v>
      </c>
      <c r="AD198" s="0" t="n">
        <f aca="false">DEGREES(ACOS(SIN(RADIANS($B$3))*SIN(RADIANS(T198))+COS(RADIANS($B$3))*COS(RADIANS(T198))*COS(RADIANS(AC198))))</f>
        <v>118.913061408003</v>
      </c>
      <c r="AE198" s="0" t="n">
        <f aca="false">90-AD198</f>
        <v>-28.9130614080031</v>
      </c>
      <c r="AF198" s="0" t="n">
        <f aca="false">IF(AE198&gt;85,0,IF(AE198&gt;5,58.1/TAN(RADIANS(AE198))-0.07/POWER(TAN(RADIANS(AE198)),3)+0.000086/POWER(TAN(RADIANS(AE198)),5),IF(AE198&gt;-0.575,1735+AE198*(-518.2+AE198*(103.4+AE198*(-12.79+AE198*0.711))),-20.772/TAN(RADIANS(AE198)))))/3600</f>
        <v>0.0104467075707355</v>
      </c>
      <c r="AG198" s="0" t="n">
        <f aca="false">AE198+AF198</f>
        <v>-28.9026147004324</v>
      </c>
      <c r="AH198" s="0" t="n">
        <f aca="false">IF(AC198&gt;0,MOD(DEGREES(ACOS(((SIN(RADIANS($B$3))*COS(RADIANS(AD198)))-SIN(RADIANS(T198)))/(COS(RADIANS($B$3))*SIN(RADIANS(AD198)))))+180,360),MOD(540-DEGREES(ACOS(((SIN(RADIANS($B$3))*COS(RADIANS(AD198)))-SIN(RADIANS(T198)))/(COS(RADIANS($B$3))*SIN(RADIANS(AD198))))),360))</f>
        <v>284.392264262579</v>
      </c>
    </row>
    <row r="199" customFormat="false" ht="15" hidden="false" customHeight="false" outlineLevel="0" collapsed="false">
      <c r="D199" s="6" t="n">
        <f aca="false">$B$7</f>
        <v>44886</v>
      </c>
      <c r="E199" s="7" t="n">
        <f aca="false">E198+0.1/24</f>
        <v>0.824999999999998</v>
      </c>
      <c r="F199" s="8" t="n">
        <f aca="false">D199+2415018.5+E199-$B$5/24</f>
        <v>2459905.28333333</v>
      </c>
      <c r="G199" s="9" t="n">
        <f aca="false">(F199-2451545)/36525</f>
        <v>0.22889208304815</v>
      </c>
      <c r="I199" s="0" t="n">
        <f aca="false">MOD(280.46646+G199*(36000.76983+G199*0.0003032),360)</f>
        <v>240.757673610817</v>
      </c>
      <c r="J199" s="0" t="n">
        <f aca="false">357.52911+G199*(35999.05029-0.0001537*G199)</f>
        <v>8597.42671058062</v>
      </c>
      <c r="K199" s="0" t="n">
        <f aca="false">0.016708634-G199*(0.000042037+0.0000001267*G199)</f>
        <v>0.016699005425491</v>
      </c>
      <c r="L199" s="0" t="n">
        <f aca="false">SIN(RADIANS(J199))*(1.914602-G199*(0.004817+0.000014*G199))+SIN(RADIANS(2*J199))*(0.019993-0.000101*G199)+SIN(RADIANS(3*J199))*0.000289</f>
        <v>-1.31467138825833</v>
      </c>
      <c r="M199" s="0" t="n">
        <f aca="false">I199+L199</f>
        <v>239.443002222558</v>
      </c>
      <c r="N199" s="0" t="n">
        <f aca="false">J199+L199</f>
        <v>8596.11203919236</v>
      </c>
      <c r="O199" s="0" t="n">
        <f aca="false">(1.000001018*(1-K199*K199))/(1+K199*COS(RADIANS(N199)))</f>
        <v>0.987833662129691</v>
      </c>
      <c r="P199" s="0" t="n">
        <f aca="false">M199-0.00569-0.00478*SIN(RADIANS(125.04-1934.136*G199))</f>
        <v>239.434093274461</v>
      </c>
      <c r="Q199" s="0" t="n">
        <f aca="false">23+(26+((21.448-G199*(46.815+G199*(0.00059-G199*0.001813))))/60)/60</f>
        <v>23.4363145577674</v>
      </c>
      <c r="R199" s="0" t="n">
        <f aca="false">Q199+0.00256*COS(RADIANS(125.04-1934.136*G199))</f>
        <v>23.4382070633949</v>
      </c>
      <c r="S199" s="0" t="n">
        <f aca="false">DEGREES(ATAN2(COS(RADIANS(P199)),COS(RADIANS(R199))*SIN(RADIANS(P199))))</f>
        <v>-122.769711846158</v>
      </c>
      <c r="T199" s="0" t="n">
        <f aca="false">DEGREES(ASIN(SIN(RADIANS(R199))*SIN(RADIANS(P199))))</f>
        <v>-20.0285898206009</v>
      </c>
      <c r="U199" s="0" t="n">
        <f aca="false">TAN(RADIANS(R199/2))*TAN(RADIANS(R199/2))</f>
        <v>0.0430304355185832</v>
      </c>
      <c r="V199" s="0" t="n">
        <f aca="false">4*DEGREES(U199*SIN(2*RADIANS(I199))-2*K199*SIN(RADIANS(J199))+4*K199*U199*SIN(RADIANS(J199))*COS(2*RADIANS(I199))-0.5*U199*U199*SIN(4*RADIANS(I199))-1.25*K199*K199*SIN(2*RADIANS(J199)))</f>
        <v>14.0872466668124</v>
      </c>
      <c r="W199" s="0" t="n">
        <f aca="false">DEGREES(ACOS(COS(RADIANS(90.833))/(COS(RADIANS($B$3))*COS(RADIANS(T199)))-TAN(RADIANS($B$3))*TAN(RADIANS(T199))))</f>
        <v>43.3478087977717</v>
      </c>
      <c r="X199" s="7" t="n">
        <f aca="false">(720-4*$B$4-V199+$B$5*60)/1440</f>
        <v>0.499953300925825</v>
      </c>
      <c r="Y199" s="7" t="n">
        <f aca="false">X199-W199*4/1440</f>
        <v>0.379542720932014</v>
      </c>
      <c r="Z199" s="7" t="n">
        <f aca="false">X199+W199*4/1440</f>
        <v>0.620363880919635</v>
      </c>
      <c r="AA199" s="10" t="n">
        <f aca="false">8*W199</f>
        <v>346.782470382174</v>
      </c>
      <c r="AB199" s="0" t="n">
        <f aca="false">MOD(E199*1440+V199+4*$B$4-60*$B$5,1440)</f>
        <v>1188.06724666681</v>
      </c>
      <c r="AC199" s="0" t="n">
        <f aca="false">IF(AB199/4&lt;0,AB199/4+180,AB199/4-180)</f>
        <v>117.016811666703</v>
      </c>
      <c r="AD199" s="0" t="n">
        <f aca="false">DEGREES(ACOS(SIN(RADIANS($B$3))*SIN(RADIANS(T199))+COS(RADIANS($B$3))*COS(RADIANS(T199))*COS(RADIANS(AC199))))</f>
        <v>119.537946574438</v>
      </c>
      <c r="AE199" s="0" t="n">
        <f aca="false">90-AD199</f>
        <v>-29.5379465744385</v>
      </c>
      <c r="AF199" s="0" t="n">
        <f aca="false">IF(AE199&gt;85,0,IF(AE199&gt;5,58.1/TAN(RADIANS(AE199))-0.07/POWER(TAN(RADIANS(AE199)),3)+0.000086/POWER(TAN(RADIANS(AE199)),5),IF(AE199&gt;-0.575,1735+AE199*(-518.2+AE199*(103.4+AE199*(-12.79+AE199*0.711))),-20.772/TAN(RADIANS(AE199)))))/3600</f>
        <v>0.0101826991921796</v>
      </c>
      <c r="AG199" s="0" t="n">
        <f aca="false">AE199+AF199</f>
        <v>-29.5277638752463</v>
      </c>
      <c r="AH199" s="0" t="n">
        <f aca="false">IF(AC199&gt;0,MOD(DEGREES(ACOS(((SIN(RADIANS($B$3))*COS(RADIANS(AD199)))-SIN(RADIANS(T199)))/(COS(RADIANS($B$3))*SIN(RADIANS(AD199)))))+180,360),MOD(540-DEGREES(ACOS(((SIN(RADIANS($B$3))*COS(RADIANS(AD199)))-SIN(RADIANS(T199)))/(COS(RADIANS($B$3))*SIN(RADIANS(AD199))))),360))</f>
        <v>285.839381167379</v>
      </c>
    </row>
    <row r="200" customFormat="false" ht="15" hidden="false" customHeight="false" outlineLevel="0" collapsed="false">
      <c r="D200" s="6" t="n">
        <f aca="false">$B$7</f>
        <v>44886</v>
      </c>
      <c r="E200" s="7" t="n">
        <f aca="false">E199+0.1/24</f>
        <v>0.829166666666665</v>
      </c>
      <c r="F200" s="8" t="n">
        <f aca="false">D200+2415018.5+E200-$B$5/24</f>
        <v>2459905.2875</v>
      </c>
      <c r="G200" s="9" t="n">
        <f aca="false">(F200-2451545)/36525</f>
        <v>0.228892197125259</v>
      </c>
      <c r="I200" s="0" t="n">
        <f aca="false">MOD(280.46646+G200*(36000.76983+G200*0.0003032),360)</f>
        <v>240.761780474588</v>
      </c>
      <c r="J200" s="0" t="n">
        <f aca="false">357.52911+G200*(35999.05029-0.0001537*G200)</f>
        <v>8597.4308172482</v>
      </c>
      <c r="K200" s="0" t="n">
        <f aca="false">0.016708634-G200*(0.000042037+0.0000001267*G200)</f>
        <v>0.0166990054206889</v>
      </c>
      <c r="L200" s="0" t="n">
        <f aca="false">SIN(RADIANS(J200))*(1.914602-G200*(0.004817+0.000014*G200))+SIN(RADIANS(2*J200))*(0.019993-0.000101*G200)+SIN(RADIANS(3*J200))*0.000289</f>
        <v>-1.31457018134209</v>
      </c>
      <c r="M200" s="0" t="n">
        <f aca="false">I200+L200</f>
        <v>239.447210293246</v>
      </c>
      <c r="N200" s="0" t="n">
        <f aca="false">J200+L200</f>
        <v>8596.11624706686</v>
      </c>
      <c r="O200" s="0" t="n">
        <f aca="false">(1.000001018*(1-K200*K200))/(1+K200*COS(RADIANS(N200)))</f>
        <v>0.98783283229724</v>
      </c>
      <c r="P200" s="0" t="n">
        <f aca="false">M200-0.00569-0.00478*SIN(RADIANS(125.04-1934.136*G200))</f>
        <v>239.438301358756</v>
      </c>
      <c r="Q200" s="0" t="n">
        <f aca="false">23+(26+((21.448-G200*(46.815+G200*(0.00059-G200*0.001813))))/60)/60</f>
        <v>23.4363145562839</v>
      </c>
      <c r="R200" s="0" t="n">
        <f aca="false">Q200+0.00256*COS(RADIANS(125.04-1934.136*G200))</f>
        <v>23.4382070685502</v>
      </c>
      <c r="S200" s="0" t="n">
        <f aca="false">DEGREES(ATAN2(COS(RADIANS(P200)),COS(RADIANS(R200))*SIN(RADIANS(P200))))</f>
        <v>-122.765337892101</v>
      </c>
      <c r="T200" s="0" t="n">
        <f aca="false">DEGREES(ASIN(SIN(RADIANS(R200))*SIN(RADIANS(P200))))</f>
        <v>-20.0294957421975</v>
      </c>
      <c r="U200" s="0" t="n">
        <f aca="false">TAN(RADIANS(R200/2))*TAN(RADIANS(R200/2))</f>
        <v>0.0430304355380509</v>
      </c>
      <c r="V200" s="0" t="n">
        <f aca="false">4*DEGREES(U200*SIN(2*RADIANS(I200))-2*K200*SIN(RADIANS(J200))+4*K200*U200*SIN(RADIANS(J200))*COS(2*RADIANS(I200))-0.5*U200*U200*SIN(4*RADIANS(I200))-1.25*K200*K200*SIN(2*RADIANS(J200)))</f>
        <v>14.0861664431158</v>
      </c>
      <c r="W200" s="0" t="n">
        <f aca="false">DEGREES(ACOS(COS(RADIANS(90.833))/(COS(RADIANS($B$3))*COS(RADIANS(T200)))-TAN(RADIANS($B$3))*TAN(RADIANS(T200))))</f>
        <v>43.3446961044279</v>
      </c>
      <c r="X200" s="7" t="n">
        <f aca="false">(720-4*$B$4-V200+$B$5*60)/1440</f>
        <v>0.49995405108117</v>
      </c>
      <c r="Y200" s="7" t="n">
        <f aca="false">X200-W200*4/1440</f>
        <v>0.379552117457759</v>
      </c>
      <c r="Z200" s="7" t="n">
        <f aca="false">X200+W200*4/1440</f>
        <v>0.62035598470458</v>
      </c>
      <c r="AA200" s="10" t="n">
        <f aca="false">8*W200</f>
        <v>346.757568835423</v>
      </c>
      <c r="AB200" s="0" t="n">
        <f aca="false">MOD(E200*1440+V200+4*$B$4-60*$B$5,1440)</f>
        <v>1194.06616644311</v>
      </c>
      <c r="AC200" s="0" t="n">
        <f aca="false">IF(AB200/4&lt;0,AB200/4+180,AB200/4-180)</f>
        <v>118.516541610778</v>
      </c>
      <c r="AD200" s="0" t="n">
        <f aca="false">DEGREES(ACOS(SIN(RADIANS($B$3))*SIN(RADIANS(T200))+COS(RADIANS($B$3))*COS(RADIANS(T200))*COS(RADIANS(AC200))))</f>
        <v>120.158358508653</v>
      </c>
      <c r="AE200" s="0" t="n">
        <f aca="false">90-AD200</f>
        <v>-30.1583585086526</v>
      </c>
      <c r="AF200" s="0" t="n">
        <f aca="false">IF(AE200&gt;85,0,IF(AE200&gt;5,58.1/TAN(RADIANS(AE200))-0.07/POWER(TAN(RADIANS(AE200)),3)+0.000086/POWER(TAN(RADIANS(AE200)),5),IF(AE200&gt;-0.575,1735+AE200*(-518.2+AE200*(103.4+AE200*(-12.79+AE200*0.711))),-20.772/TAN(RADIANS(AE200)))))/3600</f>
        <v>0.00993044662940626</v>
      </c>
      <c r="AG200" s="0" t="n">
        <f aca="false">AE200+AF200</f>
        <v>-30.1484280620232</v>
      </c>
      <c r="AH200" s="0" t="n">
        <f aca="false">IF(AC200&gt;0,MOD(DEGREES(ACOS(((SIN(RADIANS($B$3))*COS(RADIANS(AD200)))-SIN(RADIANS(T200)))/(COS(RADIANS($B$3))*SIN(RADIANS(AD200)))))+180,360),MOD(540-DEGREES(ACOS(((SIN(RADIANS($B$3))*COS(RADIANS(AD200)))-SIN(RADIANS(T200)))/(COS(RADIANS($B$3))*SIN(RADIANS(AD200))))),360))</f>
        <v>287.297967245514</v>
      </c>
    </row>
    <row r="201" customFormat="false" ht="15" hidden="false" customHeight="false" outlineLevel="0" collapsed="false">
      <c r="D201" s="6" t="n">
        <f aca="false">$B$7</f>
        <v>44886</v>
      </c>
      <c r="E201" s="7" t="n">
        <f aca="false">E200+0.1/24</f>
        <v>0.833333333333332</v>
      </c>
      <c r="F201" s="8" t="n">
        <f aca="false">D201+2415018.5+E201-$B$5/24</f>
        <v>2459905.29166667</v>
      </c>
      <c r="G201" s="9" t="n">
        <f aca="false">(F201-2451545)/36525</f>
        <v>0.228892311202381</v>
      </c>
      <c r="I201" s="0" t="n">
        <f aca="false">MOD(280.46646+G201*(36000.76983+G201*0.0003032),360)</f>
        <v>240.765887338819</v>
      </c>
      <c r="J201" s="0" t="n">
        <f aca="false">357.52911+G201*(35999.05029-0.0001537*G201)</f>
        <v>8597.43492391625</v>
      </c>
      <c r="K201" s="0" t="n">
        <f aca="false">0.016708634-G201*(0.000042037+0.0000001267*G201)</f>
        <v>0.0166990054158868</v>
      </c>
      <c r="L201" s="0" t="n">
        <f aca="false">SIN(RADIANS(J201))*(1.914602-G201*(0.004817+0.000014*G201))+SIN(RADIANS(2*J201))*(0.019993-0.000101*G201)+SIN(RADIANS(3*J201))*0.000289</f>
        <v>-1.31446896734516</v>
      </c>
      <c r="M201" s="0" t="n">
        <f aca="false">I201+L201</f>
        <v>239.451418371474</v>
      </c>
      <c r="N201" s="0" t="n">
        <f aca="false">J201+L201</f>
        <v>8596.12045494891</v>
      </c>
      <c r="O201" s="0" t="n">
        <f aca="false">(1.000001018*(1-K201*K201))/(1+K201*COS(RADIANS(N201)))</f>
        <v>0.98783200252806</v>
      </c>
      <c r="P201" s="0" t="n">
        <f aca="false">M201-0.00569-0.00478*SIN(RADIANS(125.04-1934.136*G201))</f>
        <v>239.442509450592</v>
      </c>
      <c r="Q201" s="0" t="n">
        <f aca="false">23+(26+((21.448-G201*(46.815+G201*(0.00059-G201*0.001813))))/60)/60</f>
        <v>23.4363145548004</v>
      </c>
      <c r="R201" s="0" t="n">
        <f aca="false">Q201+0.00256*COS(RADIANS(125.04-1934.136*G201))</f>
        <v>23.4382070737055</v>
      </c>
      <c r="S201" s="0" t="n">
        <f aca="false">DEGREES(ATAN2(COS(RADIANS(P201)),COS(RADIANS(R201))*SIN(RADIANS(P201))))</f>
        <v>-122.760963879785</v>
      </c>
      <c r="T201" s="0" t="n">
        <f aca="false">DEGREES(ASIN(SIN(RADIANS(R201))*SIN(RADIANS(P201))))</f>
        <v>-20.030401557969</v>
      </c>
      <c r="U201" s="0" t="n">
        <f aca="false">TAN(RADIANS(R201/2))*TAN(RADIANS(R201/2))</f>
        <v>0.0430304355575186</v>
      </c>
      <c r="V201" s="0" t="n">
        <f aca="false">4*DEGREES(U201*SIN(2*RADIANS(I201))-2*K201*SIN(RADIANS(J201))+4*K201*U201*SIN(RADIANS(J201))*COS(2*RADIANS(I201))-0.5*U201*U201*SIN(4*RADIANS(I201))-1.25*K201*K201*SIN(2*RADIANS(J201)))</f>
        <v>14.0850859882676</v>
      </c>
      <c r="W201" s="0" t="n">
        <f aca="false">DEGREES(ACOS(COS(RADIANS(90.833))/(COS(RADIANS($B$3))*COS(RADIANS(T201)))-TAN(RADIANS($B$3))*TAN(RADIANS(T201))))</f>
        <v>43.3415835604153</v>
      </c>
      <c r="X201" s="7" t="n">
        <f aca="false">(720-4*$B$4-V201+$B$5*60)/1440</f>
        <v>0.499954801397036</v>
      </c>
      <c r="Y201" s="7" t="n">
        <f aca="false">X201-W201*4/1440</f>
        <v>0.379561513729216</v>
      </c>
      <c r="Z201" s="7" t="n">
        <f aca="false">X201+W201*4/1440</f>
        <v>0.620348089064857</v>
      </c>
      <c r="AA201" s="10" t="n">
        <f aca="false">8*W201</f>
        <v>346.732668483323</v>
      </c>
      <c r="AB201" s="0" t="n">
        <f aca="false">MOD(E201*1440+V201+4*$B$4-60*$B$5,1440)</f>
        <v>1200.06508598827</v>
      </c>
      <c r="AC201" s="0" t="n">
        <f aca="false">IF(AB201/4&lt;0,AB201/4+180,AB201/4-180)</f>
        <v>120.016271497066</v>
      </c>
      <c r="AD201" s="0" t="n">
        <f aca="false">DEGREES(ACOS(SIN(RADIANS($B$3))*SIN(RADIANS(T201))+COS(RADIANS($B$3))*COS(RADIANS(T201))*COS(RADIANS(AC201))))</f>
        <v>120.773858113388</v>
      </c>
      <c r="AE201" s="0" t="n">
        <f aca="false">90-AD201</f>
        <v>-30.7738581133881</v>
      </c>
      <c r="AF201" s="0" t="n">
        <f aca="false">IF(AE201&gt;85,0,IF(AE201&gt;5,58.1/TAN(RADIANS(AE201))-0.07/POWER(TAN(RADIANS(AE201)),3)+0.000086/POWER(TAN(RADIANS(AE201)),5),IF(AE201&gt;-0.575,1735+AE201*(-518.2+AE201*(103.4+AE201*(-12.79+AE201*0.711))),-20.772/TAN(RADIANS(AE201)))))/3600</f>
        <v>0.0096893137519914</v>
      </c>
      <c r="AG201" s="0" t="n">
        <f aca="false">AE201+AF201</f>
        <v>-30.7641687996361</v>
      </c>
      <c r="AH201" s="0" t="n">
        <f aca="false">IF(AC201&gt;0,MOD(DEGREES(ACOS(((SIN(RADIANS($B$3))*COS(RADIANS(AD201)))-SIN(RADIANS(T201)))/(COS(RADIANS($B$3))*SIN(RADIANS(AD201)))))+180,360),MOD(540-DEGREES(ACOS(((SIN(RADIANS($B$3))*COS(RADIANS(AD201)))-SIN(RADIANS(T201)))/(COS(RADIANS($B$3))*SIN(RADIANS(AD201))))),360))</f>
        <v>288.768493717624</v>
      </c>
    </row>
    <row r="202" customFormat="false" ht="15" hidden="false" customHeight="false" outlineLevel="0" collapsed="false">
      <c r="D202" s="6" t="n">
        <f aca="false">$B$7</f>
        <v>44886</v>
      </c>
      <c r="E202" s="7" t="n">
        <f aca="false">E201+0.1/24</f>
        <v>0.837499999999998</v>
      </c>
      <c r="F202" s="8" t="n">
        <f aca="false">D202+2415018.5+E202-$B$5/24</f>
        <v>2459905.29583333</v>
      </c>
      <c r="G202" s="9" t="n">
        <f aca="false">(F202-2451545)/36525</f>
        <v>0.228892425279491</v>
      </c>
      <c r="I202" s="0" t="n">
        <f aca="false">MOD(280.46646+G202*(36000.76983+G202*0.0003032),360)</f>
        <v>240.769994202592</v>
      </c>
      <c r="J202" s="0" t="n">
        <f aca="false">357.52911+G202*(35999.05029-0.0001537*G202)</f>
        <v>8597.43903058384</v>
      </c>
      <c r="K202" s="0" t="n">
        <f aca="false">0.016708634-G202*(0.000042037+0.0000001267*G202)</f>
        <v>0.0166990054110848</v>
      </c>
      <c r="L202" s="0" t="n">
        <f aca="false">SIN(RADIANS(J202))*(1.914602-G202*(0.004817+0.000014*G202))+SIN(RADIANS(2*J202))*(0.019993-0.000101*G202)+SIN(RADIANS(3*J202))*0.000289</f>
        <v>-1.31436774629074</v>
      </c>
      <c r="M202" s="0" t="n">
        <f aca="false">I202+L202</f>
        <v>239.455626456301</v>
      </c>
      <c r="N202" s="0" t="n">
        <f aca="false">J202+L202</f>
        <v>8596.12466283755</v>
      </c>
      <c r="O202" s="0" t="n">
        <f aca="false">(1.000001018*(1-K202*K202))/(1+K202*COS(RADIANS(N202)))</f>
        <v>0.987831172822342</v>
      </c>
      <c r="P202" s="0" t="n">
        <f aca="false">M202-0.00569-0.00478*SIN(RADIANS(125.04-1934.136*G202))</f>
        <v>239.446717549028</v>
      </c>
      <c r="Q202" s="0" t="n">
        <f aca="false">23+(26+((21.448-G202*(46.815+G202*(0.00059-G202*0.001813))))/60)/60</f>
        <v>23.436314553317</v>
      </c>
      <c r="R202" s="0" t="n">
        <f aca="false">Q202+0.00256*COS(RADIANS(125.04-1934.136*G202))</f>
        <v>23.4382070788608</v>
      </c>
      <c r="S202" s="0" t="n">
        <f aca="false">DEGREES(ATAN2(COS(RADIANS(P202)),COS(RADIANS(R202))*SIN(RADIANS(P202))))</f>
        <v>-122.756589810192</v>
      </c>
      <c r="T202" s="0" t="n">
        <f aca="false">DEGREES(ASIN(SIN(RADIANS(R202))*SIN(RADIANS(P202))))</f>
        <v>-20.0313072677056</v>
      </c>
      <c r="U202" s="0" t="n">
        <f aca="false">TAN(RADIANS(R202/2))*TAN(RADIANS(R202/2))</f>
        <v>0.0430304355769861</v>
      </c>
      <c r="V202" s="0" t="n">
        <f aca="false">4*DEGREES(U202*SIN(2*RADIANS(I202))-2*K202*SIN(RADIANS(J202))+4*K202*U202*SIN(RADIANS(J202))*COS(2*RADIANS(I202))-0.5*U202*U202*SIN(4*RADIANS(I202))-1.25*K202*K202*SIN(2*RADIANS(J202)))</f>
        <v>14.084005302524</v>
      </c>
      <c r="W202" s="0" t="n">
        <f aca="false">DEGREES(ACOS(COS(RADIANS(90.833))/(COS(RADIANS($B$3))*COS(RADIANS(T202)))-TAN(RADIANS($B$3))*TAN(RADIANS(T202))))</f>
        <v>43.3384711664819</v>
      </c>
      <c r="X202" s="7" t="n">
        <f aca="false">(720-4*$B$4-V202+$B$5*60)/1440</f>
        <v>0.499955551873247</v>
      </c>
      <c r="Y202" s="7" t="n">
        <f aca="false">X202-W202*4/1440</f>
        <v>0.379570909744131</v>
      </c>
      <c r="Z202" s="7" t="n">
        <f aca="false">X202+W202*4/1440</f>
        <v>0.620340194002364</v>
      </c>
      <c r="AA202" s="10" t="n">
        <f aca="false">8*W202</f>
        <v>346.707769331855</v>
      </c>
      <c r="AB202" s="0" t="n">
        <f aca="false">MOD(E202*1440+V202+4*$B$4-60*$B$5,1440)</f>
        <v>1206.06400530252</v>
      </c>
      <c r="AC202" s="0" t="n">
        <f aca="false">IF(AB202/4&lt;0,AB202/4+180,AB202/4-180)</f>
        <v>121.51600132563</v>
      </c>
      <c r="AD202" s="0" t="n">
        <f aca="false">DEGREES(ACOS(SIN(RADIANS($B$3))*SIN(RADIANS(T202))+COS(RADIANS($B$3))*COS(RADIANS(T202))*COS(RADIANS(AC202))))</f>
        <v>121.383998064417</v>
      </c>
      <c r="AE202" s="0" t="n">
        <f aca="false">90-AD202</f>
        <v>-31.3839980644166</v>
      </c>
      <c r="AF202" s="0" t="n">
        <f aca="false">IF(AE202&gt;85,0,IF(AE202&gt;5,58.1/TAN(RADIANS(AE202))-0.07/POWER(TAN(RADIANS(AE202)),3)+0.000086/POWER(TAN(RADIANS(AE202)),5),IF(AE202&gt;-0.575,1735+AE202*(-518.2+AE202*(103.4+AE202*(-12.79+AE202*0.711))),-20.772/TAN(RADIANS(AE202)))))/3600</f>
        <v>0.00945871672078575</v>
      </c>
      <c r="AG202" s="0" t="n">
        <f aca="false">AE202+AF202</f>
        <v>-31.3745393476958</v>
      </c>
      <c r="AH202" s="0" t="n">
        <f aca="false">IF(AC202&gt;0,MOD(DEGREES(ACOS(((SIN(RADIANS($B$3))*COS(RADIANS(AD202)))-SIN(RADIANS(T202)))/(COS(RADIANS($B$3))*SIN(RADIANS(AD202)))))+180,360),MOD(540-DEGREES(ACOS(((SIN(RADIANS($B$3))*COS(RADIANS(AD202)))-SIN(RADIANS(T202)))/(COS(RADIANS($B$3))*SIN(RADIANS(AD202))))),360))</f>
        <v>290.251428710575</v>
      </c>
    </row>
    <row r="203" customFormat="false" ht="15" hidden="false" customHeight="false" outlineLevel="0" collapsed="false">
      <c r="D203" s="6" t="n">
        <f aca="false">$B$7</f>
        <v>44886</v>
      </c>
      <c r="E203" s="7" t="n">
        <f aca="false">E202+0.1/24</f>
        <v>0.841666666666665</v>
      </c>
      <c r="F203" s="8" t="n">
        <f aca="false">D203+2415018.5+E203-$B$5/24</f>
        <v>2459905.3</v>
      </c>
      <c r="G203" s="9" t="n">
        <f aca="false">(F203-2451545)/36525</f>
        <v>0.228892539356613</v>
      </c>
      <c r="I203" s="0" t="n">
        <f aca="false">MOD(280.46646+G203*(36000.76983+G203*0.0003032),360)</f>
        <v>240.774101066821</v>
      </c>
      <c r="J203" s="0" t="n">
        <f aca="false">357.52911+G203*(35999.05029-0.0001537*G203)</f>
        <v>8597.44313725189</v>
      </c>
      <c r="K203" s="0" t="n">
        <f aca="false">0.016708634-G203*(0.000042037+0.0000001267*G203)</f>
        <v>0.0166990054062827</v>
      </c>
      <c r="L203" s="0" t="n">
        <f aca="false">SIN(RADIANS(J203))*(1.914602-G203*(0.004817+0.000014*G203))+SIN(RADIANS(2*J203))*(0.019993-0.000101*G203)+SIN(RADIANS(3*J203))*0.000289</f>
        <v>-1.31426651815672</v>
      </c>
      <c r="M203" s="0" t="n">
        <f aca="false">I203+L203</f>
        <v>239.459834548665</v>
      </c>
      <c r="N203" s="0" t="n">
        <f aca="false">J203+L203</f>
        <v>8596.12887073373</v>
      </c>
      <c r="O203" s="0" t="n">
        <f aca="false">(1.000001018*(1-K203*K203))/(1+K203*COS(RADIANS(N203)))</f>
        <v>0.987830343179905</v>
      </c>
      <c r="P203" s="0" t="n">
        <f aca="false">M203-0.00569-0.00478*SIN(RADIANS(125.04-1934.136*G203))</f>
        <v>239.450925654999</v>
      </c>
      <c r="Q203" s="0" t="n">
        <f aca="false">23+(26+((21.448-G203*(46.815+G203*(0.00059-G203*0.001813))))/60)/60</f>
        <v>23.4363145518335</v>
      </c>
      <c r="R203" s="0" t="n">
        <f aca="false">Q203+0.00256*COS(RADIANS(125.04-1934.136*G203))</f>
        <v>23.438207084016</v>
      </c>
      <c r="S203" s="0" t="n">
        <f aca="false">DEGREES(ATAN2(COS(RADIANS(P203)),COS(RADIANS(R203))*SIN(RADIANS(P203))))</f>
        <v>-122.752215682349</v>
      </c>
      <c r="T203" s="0" t="n">
        <f aca="false">DEGREES(ASIN(SIN(RADIANS(R203))*SIN(RADIANS(P203))))</f>
        <v>-20.032212871602</v>
      </c>
      <c r="U203" s="0" t="n">
        <f aca="false">TAN(RADIANS(R203/2))*TAN(RADIANS(R203/2))</f>
        <v>0.0430304355964536</v>
      </c>
      <c r="V203" s="0" t="n">
        <f aca="false">4*DEGREES(U203*SIN(2*RADIANS(I203))-2*K203*SIN(RADIANS(J203))+4*K203*U203*SIN(RADIANS(J203))*COS(2*RADIANS(I203))-0.5*U203*U203*SIN(4*RADIANS(I203))-1.25*K203*K203*SIN(2*RADIANS(J203)))</f>
        <v>14.082924385658</v>
      </c>
      <c r="W203" s="0" t="n">
        <f aca="false">DEGREES(ACOS(COS(RADIANS(90.833))/(COS(RADIANS($B$3))*COS(RADIANS(T203)))-TAN(RADIANS($B$3))*TAN(RADIANS(T203))))</f>
        <v>43.3353589219856</v>
      </c>
      <c r="X203" s="7" t="n">
        <f aca="false">(720-4*$B$4-V203+$B$5*60)/1440</f>
        <v>0.49995630250996</v>
      </c>
      <c r="Y203" s="7" t="n">
        <f aca="false">X203-W203*4/1440</f>
        <v>0.379580305504444</v>
      </c>
      <c r="Z203" s="7" t="n">
        <f aca="false">X203+W203*4/1440</f>
        <v>0.620332299515475</v>
      </c>
      <c r="AA203" s="10" t="n">
        <f aca="false">8*W203</f>
        <v>346.682871375885</v>
      </c>
      <c r="AB203" s="0" t="n">
        <f aca="false">MOD(E203*1440+V203+4*$B$4-60*$B$5,1440)</f>
        <v>1212.06292438566</v>
      </c>
      <c r="AC203" s="0" t="n">
        <f aca="false">IF(AB203/4&lt;0,AB203/4+180,AB203/4-180)</f>
        <v>123.015731096414</v>
      </c>
      <c r="AD203" s="0" t="n">
        <f aca="false">DEGREES(ACOS(SIN(RADIANS($B$3))*SIN(RADIANS(T203))+COS(RADIANS($B$3))*COS(RADIANS(T203))*COS(RADIANS(AC203))))</f>
        <v>121.988322660973</v>
      </c>
      <c r="AE203" s="0" t="n">
        <f aca="false">90-AD203</f>
        <v>-31.9883226609728</v>
      </c>
      <c r="AF203" s="0" t="n">
        <f aca="false">IF(AE203&gt;85,0,IF(AE203&gt;5,58.1/TAN(RADIANS(AE203))-0.07/POWER(TAN(RADIANS(AE203)),3)+0.000086/POWER(TAN(RADIANS(AE203)),5),IF(AE203&gt;-0.575,1735+AE203*(-518.2+AE203*(103.4+AE203*(-12.79+AE203*0.711))),-20.772/TAN(RADIANS(AE203)))))/3600</f>
        <v>0.00923811931911813</v>
      </c>
      <c r="AG203" s="0" t="n">
        <f aca="false">AE203+AF203</f>
        <v>-31.9790845416537</v>
      </c>
      <c r="AH203" s="0" t="n">
        <f aca="false">IF(AC203&gt;0,MOD(DEGREES(ACOS(((SIN(RADIANS($B$3))*COS(RADIANS(AD203)))-SIN(RADIANS(T203)))/(COS(RADIANS($B$3))*SIN(RADIANS(AD203)))))+180,360),MOD(540-DEGREES(ACOS(((SIN(RADIANS($B$3))*COS(RADIANS(AD203)))-SIN(RADIANS(T203)))/(COS(RADIANS($B$3))*SIN(RADIANS(AD203))))),360))</f>
        <v>291.747235686801</v>
      </c>
    </row>
    <row r="204" customFormat="false" ht="15" hidden="false" customHeight="false" outlineLevel="0" collapsed="false">
      <c r="D204" s="6" t="n">
        <f aca="false">$B$7</f>
        <v>44886</v>
      </c>
      <c r="E204" s="7" t="n">
        <f aca="false">E203+0.1/24</f>
        <v>0.845833333333332</v>
      </c>
      <c r="F204" s="8" t="n">
        <f aca="false">D204+2415018.5+E204-$B$5/24</f>
        <v>2459905.30416667</v>
      </c>
      <c r="G204" s="9" t="n">
        <f aca="false">(F204-2451545)/36525</f>
        <v>0.228892653433722</v>
      </c>
      <c r="I204" s="0" t="n">
        <f aca="false">MOD(280.46646+G204*(36000.76983+G204*0.0003032),360)</f>
        <v>240.778207930593</v>
      </c>
      <c r="J204" s="0" t="n">
        <f aca="false">357.52911+G204*(35999.05029-0.0001537*G204)</f>
        <v>8597.44724391947</v>
      </c>
      <c r="K204" s="0" t="n">
        <f aca="false">0.016708634-G204*(0.000042037+0.0000001267*G204)</f>
        <v>0.0166990054014806</v>
      </c>
      <c r="L204" s="0" t="n">
        <f aca="false">SIN(RADIANS(J204))*(1.914602-G204*(0.004817+0.000014*G204))+SIN(RADIANS(2*J204))*(0.019993-0.000101*G204)+SIN(RADIANS(3*J204))*0.000289</f>
        <v>-1.31416528296626</v>
      </c>
      <c r="M204" s="0" t="n">
        <f aca="false">I204+L204</f>
        <v>239.464042647626</v>
      </c>
      <c r="N204" s="0" t="n">
        <f aca="false">J204+L204</f>
        <v>8596.13307863651</v>
      </c>
      <c r="O204" s="0" t="n">
        <f aca="false">(1.000001018*(1-K204*K204))/(1+K204*COS(RADIANS(N204)))</f>
        <v>0.987829513600939</v>
      </c>
      <c r="P204" s="0" t="n">
        <f aca="false">M204-0.00569-0.00478*SIN(RADIANS(125.04-1934.136*G204))</f>
        <v>239.455133767569</v>
      </c>
      <c r="Q204" s="0" t="n">
        <f aca="false">23+(26+((21.448-G204*(46.815+G204*(0.00059-G204*0.001813))))/60)/60</f>
        <v>23.43631455035</v>
      </c>
      <c r="R204" s="0" t="n">
        <f aca="false">Q204+0.00256*COS(RADIANS(125.04-1934.136*G204))</f>
        <v>23.4382070891712</v>
      </c>
      <c r="S204" s="0" t="n">
        <f aca="false">DEGREES(ATAN2(COS(RADIANS(P204)),COS(RADIANS(R204))*SIN(RADIANS(P204))))</f>
        <v>-122.747841497236</v>
      </c>
      <c r="T204" s="0" t="n">
        <f aca="false">DEGREES(ASIN(SIN(RADIANS(R204))*SIN(RADIANS(P204))))</f>
        <v>-20.0331183694492</v>
      </c>
      <c r="U204" s="0" t="n">
        <f aca="false">TAN(RADIANS(R204/2))*TAN(RADIANS(R204/2))</f>
        <v>0.0430304356159209</v>
      </c>
      <c r="V204" s="0" t="n">
        <f aca="false">4*DEGREES(U204*SIN(2*RADIANS(I204))-2*K204*SIN(RADIANS(J204))+4*K204*U204*SIN(RADIANS(J204))*COS(2*RADIANS(I204))-0.5*U204*U204*SIN(4*RADIANS(I204))-1.25*K204*K204*SIN(2*RADIANS(J204)))</f>
        <v>14.0818432379252</v>
      </c>
      <c r="W204" s="0" t="n">
        <f aca="false">DEGREES(ACOS(COS(RADIANS(90.833))/(COS(RADIANS($B$3))*COS(RADIANS(T204)))-TAN(RADIANS($B$3))*TAN(RADIANS(T204))))</f>
        <v>43.3322468276713</v>
      </c>
      <c r="X204" s="7" t="n">
        <f aca="false">(720-4*$B$4-V204+$B$5*60)/1440</f>
        <v>0.499957053306996</v>
      </c>
      <c r="Y204" s="7" t="n">
        <f aca="false">X204-W204*4/1440</f>
        <v>0.379589701007909</v>
      </c>
      <c r="Z204" s="7" t="n">
        <f aca="false">X204+W204*4/1440</f>
        <v>0.620324405606083</v>
      </c>
      <c r="AA204" s="10" t="n">
        <f aca="false">8*W204</f>
        <v>346.65797462137</v>
      </c>
      <c r="AB204" s="0" t="n">
        <f aca="false">MOD(E204*1440+V204+4*$B$4-60*$B$5,1440)</f>
        <v>1218.06184323792</v>
      </c>
      <c r="AC204" s="0" t="n">
        <f aca="false">IF(AB204/4&lt;0,AB204/4+180,AB204/4-180)</f>
        <v>124.515460809481</v>
      </c>
      <c r="AD204" s="0" t="n">
        <f aca="false">DEGREES(ACOS(SIN(RADIANS($B$3))*SIN(RADIANS(T204))+COS(RADIANS($B$3))*COS(RADIANS(T204))*COS(RADIANS(AC204))))</f>
        <v>122.586367711925</v>
      </c>
      <c r="AE204" s="0" t="n">
        <f aca="false">90-AD204</f>
        <v>-32.5863677119249</v>
      </c>
      <c r="AF204" s="0" t="n">
        <f aca="false">IF(AE204&gt;85,0,IF(AE204&gt;5,58.1/TAN(RADIANS(AE204))-0.07/POWER(TAN(RADIANS(AE204)),3)+0.000086/POWER(TAN(RADIANS(AE204)),5),IF(AE204&gt;-0.575,1735+AE204*(-518.2+AE204*(103.4+AE204*(-12.79+AE204*0.711))),-20.772/TAN(RADIANS(AE204)))))/3600</f>
        <v>0.00902702879008785</v>
      </c>
      <c r="AG204" s="0" t="n">
        <f aca="false">AE204+AF204</f>
        <v>-32.5773406831348</v>
      </c>
      <c r="AH204" s="0" t="n">
        <f aca="false">IF(AC204&gt;0,MOD(DEGREES(ACOS(((SIN(RADIANS($B$3))*COS(RADIANS(AD204)))-SIN(RADIANS(T204)))/(COS(RADIANS($B$3))*SIN(RADIANS(AD204)))))+180,360),MOD(540-DEGREES(ACOS(((SIN(RADIANS($B$3))*COS(RADIANS(AD204)))-SIN(RADIANS(T204)))/(COS(RADIANS($B$3))*SIN(RADIANS(AD204))))),360))</f>
        <v>293.256371716873</v>
      </c>
    </row>
    <row r="205" customFormat="false" ht="15" hidden="false" customHeight="false" outlineLevel="0" collapsed="false">
      <c r="D205" s="6" t="n">
        <f aca="false">$B$7</f>
        <v>44886</v>
      </c>
      <c r="E205" s="7" t="n">
        <f aca="false">E204+0.1/24</f>
        <v>0.849999999999998</v>
      </c>
      <c r="F205" s="8" t="n">
        <f aca="false">D205+2415018.5+E205-$B$5/24</f>
        <v>2459905.30833333</v>
      </c>
      <c r="G205" s="9" t="n">
        <f aca="false">(F205-2451545)/36525</f>
        <v>0.228892767510844</v>
      </c>
      <c r="I205" s="0" t="n">
        <f aca="false">MOD(280.46646+G205*(36000.76983+G205*0.0003032),360)</f>
        <v>240.782314794824</v>
      </c>
      <c r="J205" s="0" t="n">
        <f aca="false">357.52911+G205*(35999.05029-0.0001537*G205)</f>
        <v>8597.45135058752</v>
      </c>
      <c r="K205" s="0" t="n">
        <f aca="false">0.016708634-G205*(0.000042037+0.0000001267*G205)</f>
        <v>0.0166990053966785</v>
      </c>
      <c r="L205" s="0" t="n">
        <f aca="false">SIN(RADIANS(J205))*(1.914602-G205*(0.004817+0.000014*G205))+SIN(RADIANS(2*J205))*(0.019993-0.000101*G205)+SIN(RADIANS(3*J205))*0.000289</f>
        <v>-1.31406404069727</v>
      </c>
      <c r="M205" s="0" t="n">
        <f aca="false">I205+L205</f>
        <v>239.468250754127</v>
      </c>
      <c r="N205" s="0" t="n">
        <f aca="false">J205+L205</f>
        <v>8596.13728654682</v>
      </c>
      <c r="O205" s="0" t="n">
        <f aca="false">(1.000001018*(1-K205*K205))/(1+K205*COS(RADIANS(N205)))</f>
        <v>0.987828684085263</v>
      </c>
      <c r="P205" s="0" t="n">
        <f aca="false">M205-0.00569-0.00478*SIN(RADIANS(125.04-1934.136*G205))</f>
        <v>239.459341887677</v>
      </c>
      <c r="Q205" s="0" t="n">
        <f aca="false">23+(26+((21.448-G205*(46.815+G205*(0.00059-G205*0.001813))))/60)/60</f>
        <v>23.4363145488665</v>
      </c>
      <c r="R205" s="0" t="n">
        <f aca="false">Q205+0.00256*COS(RADIANS(125.04-1934.136*G205))</f>
        <v>23.4382070943263</v>
      </c>
      <c r="S205" s="0" t="n">
        <f aca="false">DEGREES(ATAN2(COS(RADIANS(P205)),COS(RADIANS(R205))*SIN(RADIANS(P205))))</f>
        <v>-122.743467253876</v>
      </c>
      <c r="T205" s="0" t="n">
        <f aca="false">DEGREES(ASIN(SIN(RADIANS(R205))*SIN(RADIANS(P205))))</f>
        <v>-20.0340237614425</v>
      </c>
      <c r="U205" s="0" t="n">
        <f aca="false">TAN(RADIANS(R205/2))*TAN(RADIANS(R205/2))</f>
        <v>0.0430304356353881</v>
      </c>
      <c r="V205" s="0" t="n">
        <f aca="false">4*DEGREES(U205*SIN(2*RADIANS(I205))-2*K205*SIN(RADIANS(J205))+4*K205*U205*SIN(RADIANS(J205))*COS(2*RADIANS(I205))-0.5*U205*U205*SIN(4*RADIANS(I205))-1.25*K205*K205*SIN(2*RADIANS(J205)))</f>
        <v>14.0807618590983</v>
      </c>
      <c r="W205" s="0" t="n">
        <f aca="false">DEGREES(ACOS(COS(RADIANS(90.833))/(COS(RADIANS($B$3))*COS(RADIANS(T205)))-TAN(RADIANS($B$3))*TAN(RADIANS(T205))))</f>
        <v>43.3291348828945</v>
      </c>
      <c r="X205" s="7" t="n">
        <f aca="false">(720-4*$B$4-V205+$B$5*60)/1440</f>
        <v>0.499957804264515</v>
      </c>
      <c r="Y205" s="7" t="n">
        <f aca="false">X205-W205*4/1440</f>
        <v>0.379599096256475</v>
      </c>
      <c r="Z205" s="7" t="n">
        <f aca="false">X205+W205*4/1440</f>
        <v>0.620316512272555</v>
      </c>
      <c r="AA205" s="10" t="n">
        <f aca="false">8*W205</f>
        <v>346.633079063156</v>
      </c>
      <c r="AB205" s="0" t="n">
        <f aca="false">MOD(E205*1440+V205+4*$B$4-60*$B$5,1440)</f>
        <v>1224.0607618591</v>
      </c>
      <c r="AC205" s="0" t="n">
        <f aca="false">IF(AB205/4&lt;0,AB205/4+180,AB205/4-180)</f>
        <v>126.015190464774</v>
      </c>
      <c r="AD205" s="0" t="n">
        <f aca="false">DEGREES(ACOS(SIN(RADIANS($B$3))*SIN(RADIANS(T205))+COS(RADIANS($B$3))*COS(RADIANS(T205))*COS(RADIANS(AC205))))</f>
        <v>123.177660465989</v>
      </c>
      <c r="AE205" s="0" t="n">
        <f aca="false">90-AD205</f>
        <v>-33.1776604659889</v>
      </c>
      <c r="AF205" s="0" t="n">
        <f aca="false">IF(AE205&gt;85,0,IF(AE205&gt;5,58.1/TAN(RADIANS(AE205))-0.07/POWER(TAN(RADIANS(AE205)),3)+0.000086/POWER(TAN(RADIANS(AE205)),5),IF(AE205&gt;-0.575,1735+AE205*(-518.2+AE205*(103.4+AE205*(-12.79+AE205*0.711))),-20.772/TAN(RADIANS(AE205)))))/3600</f>
        <v>0.00882499211605566</v>
      </c>
      <c r="AG205" s="0" t="n">
        <f aca="false">AE205+AF205</f>
        <v>-33.1688354738728</v>
      </c>
      <c r="AH205" s="0" t="n">
        <f aca="false">IF(AC205&gt;0,MOD(DEGREES(ACOS(((SIN(RADIANS($B$3))*COS(RADIANS(AD205)))-SIN(RADIANS(T205)))/(COS(RADIANS($B$3))*SIN(RADIANS(AD205)))))+180,360),MOD(540-DEGREES(ACOS(((SIN(RADIANS($B$3))*COS(RADIANS(AD205)))-SIN(RADIANS(T205)))/(COS(RADIANS($B$3))*SIN(RADIANS(AD205))))),360))</f>
        <v>294.779285584267</v>
      </c>
    </row>
    <row r="206" customFormat="false" ht="15" hidden="false" customHeight="false" outlineLevel="0" collapsed="false">
      <c r="D206" s="6" t="n">
        <f aca="false">$B$7</f>
        <v>44886</v>
      </c>
      <c r="E206" s="7" t="n">
        <f aca="false">E205+0.1/24</f>
        <v>0.854166666666665</v>
      </c>
      <c r="F206" s="8" t="n">
        <f aca="false">D206+2415018.5+E206-$B$5/24</f>
        <v>2459905.3125</v>
      </c>
      <c r="G206" s="9" t="n">
        <f aca="false">(F206-2451545)/36525</f>
        <v>0.228892881587953</v>
      </c>
      <c r="I206" s="0" t="n">
        <f aca="false">MOD(280.46646+G206*(36000.76983+G206*0.0003032),360)</f>
        <v>240.786421658597</v>
      </c>
      <c r="J206" s="0" t="n">
        <f aca="false">357.52911+G206*(35999.05029-0.0001537*G206)</f>
        <v>8597.45545725511</v>
      </c>
      <c r="K206" s="0" t="n">
        <f aca="false">0.016708634-G206*(0.000042037+0.0000001267*G206)</f>
        <v>0.0166990053918765</v>
      </c>
      <c r="L206" s="0" t="n">
        <f aca="false">SIN(RADIANS(J206))*(1.914602-G206*(0.004817+0.000014*G206))+SIN(RADIANS(2*J206))*(0.019993-0.000101*G206)+SIN(RADIANS(3*J206))*0.000289</f>
        <v>-1.31396279137285</v>
      </c>
      <c r="M206" s="0" t="n">
        <f aca="false">I206+L206</f>
        <v>239.472458867224</v>
      </c>
      <c r="N206" s="0" t="n">
        <f aca="false">J206+L206</f>
        <v>8596.14149446373</v>
      </c>
      <c r="O206" s="0" t="n">
        <f aca="false">(1.000001018*(1-K206*K206))/(1+K206*COS(RADIANS(N206)))</f>
        <v>0.987827854633067</v>
      </c>
      <c r="P206" s="0" t="n">
        <f aca="false">M206-0.00569-0.00478*SIN(RADIANS(125.04-1934.136*G206))</f>
        <v>239.463550014383</v>
      </c>
      <c r="Q206" s="0" t="n">
        <f aca="false">23+(26+((21.448-G206*(46.815+G206*(0.00059-G206*0.001813))))/60)/60</f>
        <v>23.436314547383</v>
      </c>
      <c r="R206" s="0" t="n">
        <f aca="false">Q206+0.00256*COS(RADIANS(125.04-1934.136*G206))</f>
        <v>23.4382070994814</v>
      </c>
      <c r="S206" s="0" t="n">
        <f aca="false">DEGREES(ATAN2(COS(RADIANS(P206)),COS(RADIANS(R206))*SIN(RADIANS(P206))))</f>
        <v>-122.739092953252</v>
      </c>
      <c r="T206" s="0" t="n">
        <f aca="false">DEGREES(ASIN(SIN(RADIANS(R206))*SIN(RADIANS(P206))))</f>
        <v>-20.0349290473724</v>
      </c>
      <c r="U206" s="0" t="n">
        <f aca="false">TAN(RADIANS(R206/2))*TAN(RADIANS(R206/2))</f>
        <v>0.0430304356548553</v>
      </c>
      <c r="V206" s="0" t="n">
        <f aca="false">4*DEGREES(U206*SIN(2*RADIANS(I206))-2*K206*SIN(RADIANS(J206))+4*K206*U206*SIN(RADIANS(J206))*COS(2*RADIANS(I206))-0.5*U206*U206*SIN(4*RADIANS(I206))-1.25*K206*K206*SIN(2*RADIANS(J206)))</f>
        <v>14.0796802494329</v>
      </c>
      <c r="W206" s="0" t="n">
        <f aca="false">DEGREES(ACOS(COS(RADIANS(90.833))/(COS(RADIANS($B$3))*COS(RADIANS(T206)))-TAN(RADIANS($B$3))*TAN(RADIANS(T206))))</f>
        <v>43.3260230884027</v>
      </c>
      <c r="X206" s="7" t="n">
        <f aca="false">(720-4*$B$4-V206+$B$5*60)/1440</f>
        <v>0.499958555382338</v>
      </c>
      <c r="Y206" s="7" t="n">
        <f aca="false">X206-W206*4/1440</f>
        <v>0.379608491247886</v>
      </c>
      <c r="Z206" s="7" t="n">
        <f aca="false">X206+W206*4/1440</f>
        <v>0.62030861951679</v>
      </c>
      <c r="AA206" s="10" t="n">
        <f aca="false">8*W206</f>
        <v>346.608184707221</v>
      </c>
      <c r="AB206" s="0" t="n">
        <f aca="false">MOD(E206*1440+V206+4*$B$4-60*$B$5,1440)</f>
        <v>1230.05968024943</v>
      </c>
      <c r="AC206" s="0" t="n">
        <f aca="false">IF(AB206/4&lt;0,AB206/4+180,AB206/4-180)</f>
        <v>127.514920062358</v>
      </c>
      <c r="AD206" s="0" t="n">
        <f aca="false">DEGREES(ACOS(SIN(RADIANS($B$3))*SIN(RADIANS(T206))+COS(RADIANS($B$3))*COS(RADIANS(T206))*COS(RADIANS(AC206))))</f>
        <v>123.761719589666</v>
      </c>
      <c r="AE206" s="0" t="n">
        <f aca="false">90-AD206</f>
        <v>-33.7617195896661</v>
      </c>
      <c r="AF206" s="0" t="n">
        <f aca="false">IF(AE206&gt;85,0,IF(AE206&gt;5,58.1/TAN(RADIANS(AE206))-0.07/POWER(TAN(RADIANS(AE206)),3)+0.000086/POWER(TAN(RADIANS(AE206)),5),IF(AE206&gt;-0.575,1735+AE206*(-518.2+AE206*(103.4+AE206*(-12.79+AE206*0.711))),-20.772/TAN(RADIANS(AE206)))))/3600</f>
        <v>0.00863159268690672</v>
      </c>
      <c r="AG206" s="0" t="n">
        <f aca="false">AE206+AF206</f>
        <v>-33.7530879969792</v>
      </c>
      <c r="AH206" s="0" t="n">
        <f aca="false">IF(AC206&gt;0,MOD(DEGREES(ACOS(((SIN(RADIANS($B$3))*COS(RADIANS(AD206)))-SIN(RADIANS(T206)))/(COS(RADIANS($B$3))*SIN(RADIANS(AD206)))))+180,360),MOD(540-DEGREES(ACOS(((SIN(RADIANS($B$3))*COS(RADIANS(AD206)))-SIN(RADIANS(T206)))/(COS(RADIANS($B$3))*SIN(RADIANS(AD206))))),360))</f>
        <v>296.316415717359</v>
      </c>
    </row>
    <row r="207" customFormat="false" ht="15" hidden="false" customHeight="false" outlineLevel="0" collapsed="false">
      <c r="D207" s="6" t="n">
        <f aca="false">$B$7</f>
        <v>44886</v>
      </c>
      <c r="E207" s="7" t="n">
        <f aca="false">E206+0.1/24</f>
        <v>0.858333333333332</v>
      </c>
      <c r="F207" s="8" t="n">
        <f aca="false">D207+2415018.5+E207-$B$5/24</f>
        <v>2459905.31666667</v>
      </c>
      <c r="G207" s="9" t="n">
        <f aca="false">(F207-2451545)/36525</f>
        <v>0.228892995665076</v>
      </c>
      <c r="I207" s="0" t="n">
        <f aca="false">MOD(280.46646+G207*(36000.76983+G207*0.0003032),360)</f>
        <v>240.790528522826</v>
      </c>
      <c r="J207" s="0" t="n">
        <f aca="false">357.52911+G207*(35999.05029-0.0001537*G207)</f>
        <v>8597.45956392315</v>
      </c>
      <c r="K207" s="0" t="n">
        <f aca="false">0.016708634-G207*(0.000042037+0.0000001267*G207)</f>
        <v>0.0166990053870744</v>
      </c>
      <c r="L207" s="0" t="n">
        <f aca="false">SIN(RADIANS(J207))*(1.914602-G207*(0.004817+0.000014*G207))+SIN(RADIANS(2*J207))*(0.019993-0.000101*G207)+SIN(RADIANS(3*J207))*0.000289</f>
        <v>-1.31386153497094</v>
      </c>
      <c r="M207" s="0" t="n">
        <f aca="false">I207+L207</f>
        <v>239.476666987855</v>
      </c>
      <c r="N207" s="0" t="n">
        <f aca="false">J207+L207</f>
        <v>8596.14570238818</v>
      </c>
      <c r="O207" s="0" t="n">
        <f aca="false">(1.000001018*(1-K207*K207))/(1+K207*COS(RADIANS(N207)))</f>
        <v>0.987827025244171</v>
      </c>
      <c r="P207" s="0" t="n">
        <f aca="false">M207-0.00569-0.00478*SIN(RADIANS(125.04-1934.136*G207))</f>
        <v>239.467758148622</v>
      </c>
      <c r="Q207" s="0" t="n">
        <f aca="false">23+(26+((21.448-G207*(46.815+G207*(0.00059-G207*0.001813))))/60)/60</f>
        <v>23.4363145458996</v>
      </c>
      <c r="R207" s="0" t="n">
        <f aca="false">Q207+0.00256*COS(RADIANS(125.04-1934.136*G207))</f>
        <v>23.4382071046365</v>
      </c>
      <c r="S207" s="0" t="n">
        <f aca="false">DEGREES(ATAN2(COS(RADIANS(P207)),COS(RADIANS(R207))*SIN(RADIANS(P207))))</f>
        <v>-122.734718594392</v>
      </c>
      <c r="T207" s="0" t="n">
        <f aca="false">DEGREES(ASIN(SIN(RADIANS(R207))*SIN(RADIANS(P207))))</f>
        <v>-20.0358342274332</v>
      </c>
      <c r="U207" s="0" t="n">
        <f aca="false">TAN(RADIANS(R207/2))*TAN(RADIANS(R207/2))</f>
        <v>0.0430304356743223</v>
      </c>
      <c r="V207" s="0" t="n">
        <f aca="false">4*DEGREES(U207*SIN(2*RADIANS(I207))-2*K207*SIN(RADIANS(J207))+4*K207*U207*SIN(RADIANS(J207))*COS(2*RADIANS(I207))-0.5*U207*U207*SIN(4*RADIANS(I207))-1.25*K207*K207*SIN(2*RADIANS(J207)))</f>
        <v>14.0785984087025</v>
      </c>
      <c r="W207" s="0" t="n">
        <f aca="false">DEGREES(ACOS(COS(RADIANS(90.833))/(COS(RADIANS($B$3))*COS(RADIANS(T207)))-TAN(RADIANS($B$3))*TAN(RADIANS(T207))))</f>
        <v>43.3229114435541</v>
      </c>
      <c r="X207" s="7" t="n">
        <f aca="false">(720-4*$B$4-V207+$B$5*60)/1440</f>
        <v>0.499959306660623</v>
      </c>
      <c r="Y207" s="7" t="n">
        <f aca="false">X207-W207*4/1440</f>
        <v>0.379617885984084</v>
      </c>
      <c r="Z207" s="7" t="n">
        <f aca="false">X207+W207*4/1440</f>
        <v>0.620300727337162</v>
      </c>
      <c r="AA207" s="10" t="n">
        <f aca="false">8*W207</f>
        <v>346.583291548433</v>
      </c>
      <c r="AB207" s="0" t="n">
        <f aca="false">MOD(E207*1440+V207+4*$B$4-60*$B$5,1440)</f>
        <v>1236.0585984087</v>
      </c>
      <c r="AC207" s="0" t="n">
        <f aca="false">IF(AB207/4&lt;0,AB207/4+180,AB207/4-180)</f>
        <v>129.014649602175</v>
      </c>
      <c r="AD207" s="0" t="n">
        <f aca="false">DEGREES(ACOS(SIN(RADIANS($B$3))*SIN(RADIANS(T207))+COS(RADIANS($B$3))*COS(RADIANS(T207))*COS(RADIANS(AC207))))</f>
        <v>124.338055202082</v>
      </c>
      <c r="AE207" s="0" t="n">
        <f aca="false">90-AD207</f>
        <v>-34.3380552020819</v>
      </c>
      <c r="AF207" s="0" t="n">
        <f aca="false">IF(AE207&gt;85,0,IF(AE207&gt;5,58.1/TAN(RADIANS(AE207))-0.07/POWER(TAN(RADIANS(AE207)),3)+0.000086/POWER(TAN(RADIANS(AE207)),5),IF(AE207&gt;-0.575,1735+AE207*(-518.2+AE207*(103.4+AE207*(-12.79+AE207*0.711))),-20.772/TAN(RADIANS(AE207)))))/3600</f>
        <v>0.00844644730909999</v>
      </c>
      <c r="AG207" s="0" t="n">
        <f aca="false">AE207+AF207</f>
        <v>-34.3296087547728</v>
      </c>
      <c r="AH207" s="0" t="n">
        <f aca="false">IF(AC207&gt;0,MOD(DEGREES(ACOS(((SIN(RADIANS($B$3))*COS(RADIANS(AD207)))-SIN(RADIANS(T207)))/(COS(RADIANS($B$3))*SIN(RADIANS(AD207)))))+180,360),MOD(540-DEGREES(ACOS(((SIN(RADIANS($B$3))*COS(RADIANS(AD207)))-SIN(RADIANS(T207)))/(COS(RADIANS($B$3))*SIN(RADIANS(AD207))))),360))</f>
        <v>297.86818793967</v>
      </c>
    </row>
    <row r="208" customFormat="false" ht="15" hidden="false" customHeight="false" outlineLevel="0" collapsed="false">
      <c r="D208" s="6" t="n">
        <f aca="false">$B$7</f>
        <v>44886</v>
      </c>
      <c r="E208" s="7" t="n">
        <f aca="false">E207+0.1/24</f>
        <v>0.862499999999998</v>
      </c>
      <c r="F208" s="8" t="n">
        <f aca="false">D208+2415018.5+E208-$B$5/24</f>
        <v>2459905.32083333</v>
      </c>
      <c r="G208" s="9" t="n">
        <f aca="false">(F208-2451545)/36525</f>
        <v>0.228893109742185</v>
      </c>
      <c r="I208" s="0" t="n">
        <f aca="false">MOD(280.46646+G208*(36000.76983+G208*0.0003032),360)</f>
        <v>240.794635386599</v>
      </c>
      <c r="J208" s="0" t="n">
        <f aca="false">357.52911+G208*(35999.05029-0.0001537*G208)</f>
        <v>8597.46367059074</v>
      </c>
      <c r="K208" s="0" t="n">
        <f aca="false">0.016708634-G208*(0.000042037+0.0000001267*G208)</f>
        <v>0.0166990053822723</v>
      </c>
      <c r="L208" s="0" t="n">
        <f aca="false">SIN(RADIANS(J208))*(1.914602-G208*(0.004817+0.000014*G208))+SIN(RADIANS(2*J208))*(0.019993-0.000101*G208)+SIN(RADIANS(3*J208))*0.000289</f>
        <v>-1.31376027151461</v>
      </c>
      <c r="M208" s="0" t="n">
        <f aca="false">I208+L208</f>
        <v>239.480875115085</v>
      </c>
      <c r="N208" s="0" t="n">
        <f aca="false">J208+L208</f>
        <v>8596.14991031923</v>
      </c>
      <c r="O208" s="0" t="n">
        <f aca="false">(1.000001018*(1-K208*K208))/(1+K208*COS(RADIANS(N208)))</f>
        <v>0.987826195918763</v>
      </c>
      <c r="P208" s="0" t="n">
        <f aca="false">M208-0.00569-0.00478*SIN(RADIANS(125.04-1934.136*G208))</f>
        <v>239.47196628946</v>
      </c>
      <c r="Q208" s="0" t="n">
        <f aca="false">23+(26+((21.448-G208*(46.815+G208*(0.00059-G208*0.001813))))/60)/60</f>
        <v>23.4363145444161</v>
      </c>
      <c r="R208" s="0" t="n">
        <f aca="false">Q208+0.00256*COS(RADIANS(125.04-1934.136*G208))</f>
        <v>23.4382071097916</v>
      </c>
      <c r="S208" s="0" t="n">
        <f aca="false">DEGREES(ATAN2(COS(RADIANS(P208)),COS(RADIANS(R208))*SIN(RADIANS(P208))))</f>
        <v>-122.730344178272</v>
      </c>
      <c r="T208" s="0" t="n">
        <f aca="false">DEGREES(ASIN(SIN(RADIANS(R208))*SIN(RADIANS(P208))))</f>
        <v>-20.0367393014167</v>
      </c>
      <c r="U208" s="0" t="n">
        <f aca="false">TAN(RADIANS(R208/2))*TAN(RADIANS(R208/2))</f>
        <v>0.0430304356937892</v>
      </c>
      <c r="V208" s="0" t="n">
        <f aca="false">4*DEGREES(U208*SIN(2*RADIANS(I208))-2*K208*SIN(RADIANS(J208))+4*K208*U208*SIN(RADIANS(J208))*COS(2*RADIANS(I208))-0.5*U208*U208*SIN(4*RADIANS(I208))-1.25*K208*K208*SIN(2*RADIANS(J208)))</f>
        <v>14.077516337162</v>
      </c>
      <c r="W208" s="0" t="n">
        <f aca="false">DEGREES(ACOS(COS(RADIANS(90.833))/(COS(RADIANS($B$3))*COS(RADIANS(T208)))-TAN(RADIANS($B$3))*TAN(RADIANS(T208))))</f>
        <v>43.3197999490921</v>
      </c>
      <c r="X208" s="7" t="n">
        <f aca="false">(720-4*$B$4-V208+$B$5*60)/1440</f>
        <v>0.499960058099193</v>
      </c>
      <c r="Y208" s="7" t="n">
        <f aca="false">X208-W208*4/1440</f>
        <v>0.379627280462826</v>
      </c>
      <c r="Z208" s="7" t="n">
        <f aca="false">X208+W208*4/1440</f>
        <v>0.62029283573556</v>
      </c>
      <c r="AA208" s="10" t="n">
        <f aca="false">8*W208</f>
        <v>346.558399592737</v>
      </c>
      <c r="AB208" s="0" t="n">
        <f aca="false">MOD(E208*1440+V208+4*$B$4-60*$B$5,1440)</f>
        <v>1242.05751633716</v>
      </c>
      <c r="AC208" s="0" t="n">
        <f aca="false">IF(AB208/4&lt;0,AB208/4+180,AB208/4-180)</f>
        <v>130.51437908429</v>
      </c>
      <c r="AD208" s="0" t="n">
        <f aca="false">DEGREES(ACOS(SIN(RADIANS($B$3))*SIN(RADIANS(T208))+COS(RADIANS($B$3))*COS(RADIANS(T208))*COS(RADIANS(AC208))))</f>
        <v>124.906168971197</v>
      </c>
      <c r="AE208" s="0" t="n">
        <f aca="false">90-AD208</f>
        <v>-34.9061689711972</v>
      </c>
      <c r="AF208" s="0" t="n">
        <f aca="false">IF(AE208&gt;85,0,IF(AE208&gt;5,58.1/TAN(RADIANS(AE208))-0.07/POWER(TAN(RADIANS(AE208)),3)+0.000086/POWER(TAN(RADIANS(AE208)),5),IF(AE208&gt;-0.575,1735+AE208*(-518.2+AE208*(103.4+AE208*(-12.79+AE208*0.711))),-20.772/TAN(RADIANS(AE208)))))/3600</f>
        <v>0.0082692035154671</v>
      </c>
      <c r="AG208" s="0" t="n">
        <f aca="false">AE208+AF208</f>
        <v>-34.8978997676817</v>
      </c>
      <c r="AH208" s="0" t="n">
        <f aca="false">IF(AC208&gt;0,MOD(DEGREES(ACOS(((SIN(RADIANS($B$3))*COS(RADIANS(AD208)))-SIN(RADIANS(T208)))/(COS(RADIANS($B$3))*SIN(RADIANS(AD208)))))+180,360),MOD(540-DEGREES(ACOS(((SIN(RADIANS($B$3))*COS(RADIANS(AD208)))-SIN(RADIANS(T208)))/(COS(RADIANS($B$3))*SIN(RADIANS(AD208))))),360))</f>
        <v>299.435013036113</v>
      </c>
    </row>
    <row r="209" customFormat="false" ht="15" hidden="false" customHeight="false" outlineLevel="0" collapsed="false">
      <c r="D209" s="6" t="n">
        <f aca="false">$B$7</f>
        <v>44886</v>
      </c>
      <c r="E209" s="7" t="n">
        <f aca="false">E208+0.1/24</f>
        <v>0.866666666666665</v>
      </c>
      <c r="F209" s="8" t="n">
        <f aca="false">D209+2415018.5+E209-$B$5/24</f>
        <v>2459905.325</v>
      </c>
      <c r="G209" s="9" t="n">
        <f aca="false">(F209-2451545)/36525</f>
        <v>0.228893223819307</v>
      </c>
      <c r="I209" s="0" t="n">
        <f aca="false">MOD(280.46646+G209*(36000.76983+G209*0.0003032),360)</f>
        <v>240.798742250829</v>
      </c>
      <c r="J209" s="0" t="n">
        <f aca="false">357.52911+G209*(35999.05029-0.0001537*G209)</f>
        <v>8597.46777725879</v>
      </c>
      <c r="K209" s="0" t="n">
        <f aca="false">0.016708634-G209*(0.000042037+0.0000001267*G209)</f>
        <v>0.0166990053774702</v>
      </c>
      <c r="L209" s="0" t="n">
        <f aca="false">SIN(RADIANS(J209))*(1.914602-G209*(0.004817+0.000014*G209))+SIN(RADIANS(2*J209))*(0.019993-0.000101*G209)+SIN(RADIANS(3*J209))*0.000289</f>
        <v>-1.31365900098189</v>
      </c>
      <c r="M209" s="0" t="n">
        <f aca="false">I209+L209</f>
        <v>239.485083249847</v>
      </c>
      <c r="N209" s="0" t="n">
        <f aca="false">J209+L209</f>
        <v>8596.15411825781</v>
      </c>
      <c r="O209" s="0" t="n">
        <f aca="false">(1.000001018*(1-K209*K209))/(1+K209*COS(RADIANS(N209)))</f>
        <v>0.987825366656664</v>
      </c>
      <c r="P209" s="0" t="n">
        <f aca="false">M209-0.00569-0.00478*SIN(RADIANS(125.04-1934.136*G209))</f>
        <v>239.47617443783</v>
      </c>
      <c r="Q209" s="0" t="n">
        <f aca="false">23+(26+((21.448-G209*(46.815+G209*(0.00059-G209*0.001813))))/60)/60</f>
        <v>23.4363145429326</v>
      </c>
      <c r="R209" s="0" t="n">
        <f aca="false">Q209+0.00256*COS(RADIANS(125.04-1934.136*G209))</f>
        <v>23.4382071149467</v>
      </c>
      <c r="S209" s="0" t="n">
        <f aca="false">DEGREES(ATAN2(COS(RADIANS(P209)),COS(RADIANS(R209))*SIN(RADIANS(P209))))</f>
        <v>-122.725969703922</v>
      </c>
      <c r="T209" s="0" t="n">
        <f aca="false">DEGREES(ASIN(SIN(RADIANS(R209))*SIN(RADIANS(P209))))</f>
        <v>-20.0376442695167</v>
      </c>
      <c r="U209" s="0" t="n">
        <f aca="false">TAN(RADIANS(R209/2))*TAN(RADIANS(R209/2))</f>
        <v>0.043030435713256</v>
      </c>
      <c r="V209" s="0" t="n">
        <f aca="false">4*DEGREES(U209*SIN(2*RADIANS(I209))-2*K209*SIN(RADIANS(J209))+4*K209*U209*SIN(RADIANS(J209))*COS(2*RADIANS(I209))-0.5*U209*U209*SIN(4*RADIANS(I209))-1.25*K209*K209*SIN(2*RADIANS(J209)))</f>
        <v>14.0764340345852</v>
      </c>
      <c r="W209" s="0" t="n">
        <f aca="false">DEGREES(ACOS(COS(RADIANS(90.833))/(COS(RADIANS($B$3))*COS(RADIANS(T209)))-TAN(RADIANS($B$3))*TAN(RADIANS(T209))))</f>
        <v>43.3166886043767</v>
      </c>
      <c r="X209" s="7" t="n">
        <f aca="false">(720-4*$B$4-V209+$B$5*60)/1440</f>
        <v>0.499960809698205</v>
      </c>
      <c r="Y209" s="7" t="n">
        <f aca="false">X209-W209*4/1440</f>
        <v>0.379636674686047</v>
      </c>
      <c r="Z209" s="7" t="n">
        <f aca="false">X209+W209*4/1440</f>
        <v>0.620284944710362</v>
      </c>
      <c r="AA209" s="10" t="n">
        <f aca="false">8*W209</f>
        <v>346.533508835014</v>
      </c>
      <c r="AB209" s="0" t="n">
        <f aca="false">MOD(E209*1440+V209+4*$B$4-60*$B$5,1440)</f>
        <v>1248.05643403458</v>
      </c>
      <c r="AC209" s="0" t="n">
        <f aca="false">IF(AB209/4&lt;0,AB209/4+180,AB209/4-180)</f>
        <v>132.014108508646</v>
      </c>
      <c r="AD209" s="0" t="n">
        <f aca="false">DEGREES(ACOS(SIN(RADIANS($B$3))*SIN(RADIANS(T209))+COS(RADIANS($B$3))*COS(RADIANS(T209))*COS(RADIANS(AC209))))</f>
        <v>125.465554281346</v>
      </c>
      <c r="AE209" s="0" t="n">
        <f aca="false">90-AD209</f>
        <v>-35.4655542813458</v>
      </c>
      <c r="AF209" s="0" t="n">
        <f aca="false">IF(AE209&gt;85,0,IF(AE209&gt;5,58.1/TAN(RADIANS(AE209))-0.07/POWER(TAN(RADIANS(AE209)),3)+0.000086/POWER(TAN(RADIANS(AE209)),5),IF(AE209&gt;-0.575,1735+AE209*(-518.2+AE209*(103.4+AE209*(-12.79+AE209*0.711))),-20.772/TAN(RADIANS(AE209)))))/3600</f>
        <v>0.00809953713925735</v>
      </c>
      <c r="AG209" s="0" t="n">
        <f aca="false">AE209+AF209</f>
        <v>-35.4574547442065</v>
      </c>
      <c r="AH209" s="0" t="n">
        <f aca="false">IF(AC209&gt;0,MOD(DEGREES(ACOS(((SIN(RADIANS($B$3))*COS(RADIANS(AD209)))-SIN(RADIANS(T209)))/(COS(RADIANS($B$3))*SIN(RADIANS(AD209)))))+180,360),MOD(540-DEGREES(ACOS(((SIN(RADIANS($B$3))*COS(RADIANS(AD209)))-SIN(RADIANS(T209)))/(COS(RADIANS($B$3))*SIN(RADIANS(AD209))))),360))</f>
        <v>301.017284129729</v>
      </c>
    </row>
    <row r="210" customFormat="false" ht="15" hidden="false" customHeight="false" outlineLevel="0" collapsed="false">
      <c r="D210" s="6" t="n">
        <f aca="false">$B$7</f>
        <v>44886</v>
      </c>
      <c r="E210" s="7" t="n">
        <f aca="false">E209+0.1/24</f>
        <v>0.870833333333332</v>
      </c>
      <c r="F210" s="8" t="n">
        <f aca="false">D210+2415018.5+E210-$B$5/24</f>
        <v>2459905.32916667</v>
      </c>
      <c r="G210" s="9" t="n">
        <f aca="false">(F210-2451545)/36525</f>
        <v>0.228893337896416</v>
      </c>
      <c r="I210" s="0" t="n">
        <f aca="false">MOD(280.46646+G210*(36000.76983+G210*0.0003032),360)</f>
        <v>240.802849114601</v>
      </c>
      <c r="J210" s="0" t="n">
        <f aca="false">357.52911+G210*(35999.05029-0.0001537*G210)</f>
        <v>8597.47188392638</v>
      </c>
      <c r="K210" s="0" t="n">
        <f aca="false">0.016708634-G210*(0.000042037+0.0000001267*G210)</f>
        <v>0.0166990053726682</v>
      </c>
      <c r="L210" s="0" t="n">
        <f aca="false">SIN(RADIANS(J210))*(1.914602-G210*(0.004817+0.000014*G210))+SIN(RADIANS(2*J210))*(0.019993-0.000101*G210)+SIN(RADIANS(3*J210))*0.000289</f>
        <v>-1.31355772339582</v>
      </c>
      <c r="M210" s="0" t="n">
        <f aca="false">I210+L210</f>
        <v>239.489291391206</v>
      </c>
      <c r="N210" s="0" t="n">
        <f aca="false">J210+L210</f>
        <v>8596.15832620298</v>
      </c>
      <c r="O210" s="0" t="n">
        <f aca="false">(1.000001018*(1-K210*K210))/(1+K210*COS(RADIANS(N210)))</f>
        <v>0.987824537458064</v>
      </c>
      <c r="P210" s="0" t="n">
        <f aca="false">M210-0.00569-0.00478*SIN(RADIANS(125.04-1934.136*G210))</f>
        <v>239.480382592797</v>
      </c>
      <c r="Q210" s="0" t="n">
        <f aca="false">23+(26+((21.448-G210*(46.815+G210*(0.00059-G210*0.001813))))/60)/60</f>
        <v>23.4363145414491</v>
      </c>
      <c r="R210" s="0" t="n">
        <f aca="false">Q210+0.00256*COS(RADIANS(125.04-1934.136*G210))</f>
        <v>23.4382071201017</v>
      </c>
      <c r="S210" s="0" t="n">
        <f aca="false">DEGREES(ATAN2(COS(RADIANS(P210)),COS(RADIANS(R210))*SIN(RADIANS(P210))))</f>
        <v>-122.721595172318</v>
      </c>
      <c r="T210" s="0" t="n">
        <f aca="false">DEGREES(ASIN(SIN(RADIANS(R210))*SIN(RADIANS(P210))))</f>
        <v>-20.0385491315251</v>
      </c>
      <c r="U210" s="0" t="n">
        <f aca="false">TAN(RADIANS(R210/2))*TAN(RADIANS(R210/2))</f>
        <v>0.0430304357327227</v>
      </c>
      <c r="V210" s="0" t="n">
        <f aca="false">4*DEGREES(U210*SIN(2*RADIANS(I210))-2*K210*SIN(RADIANS(J210))+4*K210*U210*SIN(RADIANS(J210))*COS(2*RADIANS(I210))-0.5*U210*U210*SIN(4*RADIANS(I210))-1.25*K210*K210*SIN(2*RADIANS(J210)))</f>
        <v>14.0753515012271</v>
      </c>
      <c r="W210" s="0" t="n">
        <f aca="false">DEGREES(ACOS(COS(RADIANS(90.833))/(COS(RADIANS($B$3))*COS(RADIANS(T210)))-TAN(RADIANS($B$3))*TAN(RADIANS(T210))))</f>
        <v>43.3135774101509</v>
      </c>
      <c r="X210" s="7" t="n">
        <f aca="false">(720-4*$B$4-V210+$B$5*60)/1440</f>
        <v>0.499961561457481</v>
      </c>
      <c r="Y210" s="7" t="n">
        <f aca="false">X210-W210*4/1440</f>
        <v>0.379646068651506</v>
      </c>
      <c r="Z210" s="7" t="n">
        <f aca="false">X210+W210*4/1440</f>
        <v>0.620277054263456</v>
      </c>
      <c r="AA210" s="10" t="n">
        <f aca="false">8*W210</f>
        <v>346.508619281207</v>
      </c>
      <c r="AB210" s="0" t="n">
        <f aca="false">MOD(E210*1440+V210+4*$B$4-60*$B$5,1440)</f>
        <v>1254.05535150122</v>
      </c>
      <c r="AC210" s="0" t="n">
        <f aca="false">IF(AB210/4&lt;0,AB210/4+180,AB210/4-180)</f>
        <v>133.513837875306</v>
      </c>
      <c r="AD210" s="0" t="n">
        <f aca="false">DEGREES(ACOS(SIN(RADIANS($B$3))*SIN(RADIANS(T210))+COS(RADIANS($B$3))*COS(RADIANS(T210))*COS(RADIANS(AC210))))</f>
        <v>126.015696477218</v>
      </c>
      <c r="AE210" s="0" t="n">
        <f aca="false">90-AD210</f>
        <v>-36.0156964772176</v>
      </c>
      <c r="AF210" s="0" t="n">
        <f aca="false">IF(AE210&gt;85,0,IF(AE210&gt;5,58.1/TAN(RADIANS(AE210))-0.07/POWER(TAN(RADIANS(AE210)),3)+0.000086/POWER(TAN(RADIANS(AE210)),5),IF(AE210&gt;-0.575,1735+AE210*(-518.2+AE210*(103.4+AE210*(-12.79+AE210*0.711))),-20.772/TAN(RADIANS(AE210)))))/3600</f>
        <v>0.00793715012209937</v>
      </c>
      <c r="AG210" s="0" t="n">
        <f aca="false">AE210+AF210</f>
        <v>-36.0077593270955</v>
      </c>
      <c r="AH210" s="0" t="n">
        <f aca="false">IF(AC210&gt;0,MOD(DEGREES(ACOS(((SIN(RADIANS($B$3))*COS(RADIANS(AD210)))-SIN(RADIANS(T210)))/(COS(RADIANS($B$3))*SIN(RADIANS(AD210)))))+180,360),MOD(540-DEGREES(ACOS(((SIN(RADIANS($B$3))*COS(RADIANS(AD210)))-SIN(RADIANS(T210)))/(COS(RADIANS($B$3))*SIN(RADIANS(AD210))))),360))</f>
        <v>302.615373870947</v>
      </c>
    </row>
    <row r="211" customFormat="false" ht="15" hidden="false" customHeight="false" outlineLevel="0" collapsed="false">
      <c r="D211" s="6" t="n">
        <f aca="false">$B$7</f>
        <v>44886</v>
      </c>
      <c r="E211" s="7" t="n">
        <f aca="false">E210+0.1/24</f>
        <v>0.874999999999998</v>
      </c>
      <c r="F211" s="8" t="n">
        <f aca="false">D211+2415018.5+E211-$B$5/24</f>
        <v>2459905.33333333</v>
      </c>
      <c r="G211" s="9" t="n">
        <f aca="false">(F211-2451545)/36525</f>
        <v>0.228893451973538</v>
      </c>
      <c r="I211" s="0" t="n">
        <f aca="false">MOD(280.46646+G211*(36000.76983+G211*0.0003032),360)</f>
        <v>240.806955978831</v>
      </c>
      <c r="J211" s="0" t="n">
        <f aca="false">357.52911+G211*(35999.05029-0.0001537*G211)</f>
        <v>8597.47599059443</v>
      </c>
      <c r="K211" s="0" t="n">
        <f aca="false">0.016708634-G211*(0.000042037+0.0000001267*G211)</f>
        <v>0.0166990053678661</v>
      </c>
      <c r="L211" s="0" t="n">
        <f aca="false">SIN(RADIANS(J211))*(1.914602-G211*(0.004817+0.000014*G211))+SIN(RADIANS(2*J211))*(0.019993-0.000101*G211)+SIN(RADIANS(3*J211))*0.000289</f>
        <v>-1.31345643873427</v>
      </c>
      <c r="M211" s="0" t="n">
        <f aca="false">I211+L211</f>
        <v>239.493499540097</v>
      </c>
      <c r="N211" s="0" t="n">
        <f aca="false">J211+L211</f>
        <v>8596.16253415569</v>
      </c>
      <c r="O211" s="0" t="n">
        <f aca="false">(1.000001018*(1-K211*K211))/(1+K211*COS(RADIANS(N211)))</f>
        <v>0.987823708322781</v>
      </c>
      <c r="P211" s="0" t="n">
        <f aca="false">M211-0.00569-0.00478*SIN(RADIANS(125.04-1934.136*G211))</f>
        <v>239.484590755297</v>
      </c>
      <c r="Q211" s="0" t="n">
        <f aca="false">23+(26+((21.448-G211*(46.815+G211*(0.00059-G211*0.001813))))/60)/60</f>
        <v>23.4363145399657</v>
      </c>
      <c r="R211" s="0" t="n">
        <f aca="false">Q211+0.00256*COS(RADIANS(125.04-1934.136*G211))</f>
        <v>23.4382071252567</v>
      </c>
      <c r="S211" s="0" t="n">
        <f aca="false">DEGREES(ATAN2(COS(RADIANS(P211)),COS(RADIANS(R211))*SIN(RADIANS(P211))))</f>
        <v>-122.717220582492</v>
      </c>
      <c r="T211" s="0" t="n">
        <f aca="false">DEGREES(ASIN(SIN(RADIANS(R211))*SIN(RADIANS(P211))))</f>
        <v>-20.0394538876357</v>
      </c>
      <c r="U211" s="0" t="n">
        <f aca="false">TAN(RADIANS(R211/2))*TAN(RADIANS(R211/2))</f>
        <v>0.0430304357521893</v>
      </c>
      <c r="V211" s="0" t="n">
        <f aca="false">4*DEGREES(U211*SIN(2*RADIANS(I211))-2*K211*SIN(RADIANS(J211))+4*K211*U211*SIN(RADIANS(J211))*COS(2*RADIANS(I211))-0.5*U211*U211*SIN(4*RADIANS(I211))-1.25*K211*K211*SIN(2*RADIANS(J211)))</f>
        <v>14.0742687368607</v>
      </c>
      <c r="W211" s="0" t="n">
        <f aca="false">DEGREES(ACOS(COS(RADIANS(90.833))/(COS(RADIANS($B$3))*COS(RADIANS(T211)))-TAN(RADIANS($B$3))*TAN(RADIANS(T211))))</f>
        <v>43.3104663657749</v>
      </c>
      <c r="X211" s="7" t="n">
        <f aca="false">(720-4*$B$4-V211+$B$5*60)/1440</f>
        <v>0.49996231337718</v>
      </c>
      <c r="Y211" s="7" t="n">
        <f aca="false">X211-W211*4/1440</f>
        <v>0.379655462361139</v>
      </c>
      <c r="Z211" s="7" t="n">
        <f aca="false">X211+W211*4/1440</f>
        <v>0.620269164393221</v>
      </c>
      <c r="AA211" s="10" t="n">
        <f aca="false">8*W211</f>
        <v>346.483730926199</v>
      </c>
      <c r="AB211" s="0" t="n">
        <f aca="false">MOD(E211*1440+V211+4*$B$4-60*$B$5,1440)</f>
        <v>1260.05426873686</v>
      </c>
      <c r="AC211" s="0" t="n">
        <f aca="false">IF(AB211/4&lt;0,AB211/4+180,AB211/4-180)</f>
        <v>135.013567184214</v>
      </c>
      <c r="AD211" s="0" t="n">
        <f aca="false">DEGREES(ACOS(SIN(RADIANS($B$3))*SIN(RADIANS(T211))+COS(RADIANS($B$3))*COS(RADIANS(T211))*COS(RADIANS(AC211))))</f>
        <v>126.556073194801</v>
      </c>
      <c r="AE211" s="0" t="n">
        <f aca="false">90-AD211</f>
        <v>-36.5560731948014</v>
      </c>
      <c r="AF211" s="0" t="n">
        <f aca="false">IF(AE211&gt;85,0,IF(AE211&gt;5,58.1/TAN(RADIANS(AE211))-0.07/POWER(TAN(RADIANS(AE211)),3)+0.000086/POWER(TAN(RADIANS(AE211)),5),IF(AE211&gt;-0.575,1735+AE211*(-518.2+AE211*(103.4+AE211*(-12.79+AE211*0.711))),-20.772/TAN(RADIANS(AE211)))))/3600</f>
        <v>0.00778176852776865</v>
      </c>
      <c r="AG211" s="0" t="n">
        <f aca="false">AE211+AF211</f>
        <v>-36.5482914262736</v>
      </c>
      <c r="AH211" s="0" t="n">
        <f aca="false">IF(AC211&gt;0,MOD(DEGREES(ACOS(((SIN(RADIANS($B$3))*COS(RADIANS(AD211)))-SIN(RADIANS(T211)))/(COS(RADIANS($B$3))*SIN(RADIANS(AD211)))))+180,360),MOD(540-DEGREES(ACOS(((SIN(RADIANS($B$3))*COS(RADIANS(AD211)))-SIN(RADIANS(T211)))/(COS(RADIANS($B$3))*SIN(RADIANS(AD211))))),360))</f>
        <v>304.229631439086</v>
      </c>
    </row>
    <row r="212" customFormat="false" ht="15" hidden="false" customHeight="false" outlineLevel="0" collapsed="false">
      <c r="D212" s="6" t="n">
        <f aca="false">$B$7</f>
        <v>44886</v>
      </c>
      <c r="E212" s="7" t="n">
        <f aca="false">E211+0.1/24</f>
        <v>0.879166666666665</v>
      </c>
      <c r="F212" s="8" t="n">
        <f aca="false">D212+2415018.5+E212-$B$5/24</f>
        <v>2459905.3375</v>
      </c>
      <c r="G212" s="9" t="n">
        <f aca="false">(F212-2451545)/36525</f>
        <v>0.22889356605066</v>
      </c>
      <c r="I212" s="0" t="n">
        <f aca="false">MOD(280.46646+G212*(36000.76983+G212*0.0003032),360)</f>
        <v>240.811062843062</v>
      </c>
      <c r="J212" s="0" t="n">
        <f aca="false">357.52911+G212*(35999.05029-0.0001537*G212)</f>
        <v>8597.48009726247</v>
      </c>
      <c r="K212" s="0" t="n">
        <f aca="false">0.016708634-G212*(0.000042037+0.0000001267*G212)</f>
        <v>0.016699005363064</v>
      </c>
      <c r="L212" s="0" t="n">
        <f aca="false">SIN(RADIANS(J212))*(1.914602-G212*(0.004817+0.000014*G212))+SIN(RADIANS(2*J212))*(0.019993-0.000101*G212)+SIN(RADIANS(3*J212))*0.000289</f>
        <v>-1.31335514700931</v>
      </c>
      <c r="M212" s="0" t="n">
        <f aca="false">I212+L212</f>
        <v>239.497707696053</v>
      </c>
      <c r="N212" s="0" t="n">
        <f aca="false">J212+L212</f>
        <v>8596.16674211546</v>
      </c>
      <c r="O212" s="0" t="n">
        <f aca="false">(1.000001018*(1-K212*K212))/(1+K212*COS(RADIANS(N212)))</f>
        <v>0.987822879250913</v>
      </c>
      <c r="P212" s="0" t="n">
        <f aca="false">M212-0.00569-0.00478*SIN(RADIANS(125.04-1934.136*G212))</f>
        <v>239.488798924861</v>
      </c>
      <c r="Q212" s="0" t="n">
        <f aca="false">23+(26+((21.448-G212*(46.815+G212*(0.00059-G212*0.001813))))/60)/60</f>
        <v>23.4363145384822</v>
      </c>
      <c r="R212" s="0" t="n">
        <f aca="false">Q212+0.00256*COS(RADIANS(125.04-1934.136*G212))</f>
        <v>23.4382071304116</v>
      </c>
      <c r="S212" s="0" t="n">
        <f aca="false">DEGREES(ATAN2(COS(RADIANS(P212)),COS(RADIANS(R212))*SIN(RADIANS(P212))))</f>
        <v>-122.71284593493</v>
      </c>
      <c r="T212" s="0" t="n">
        <f aca="false">DEGREES(ASIN(SIN(RADIANS(R212))*SIN(RADIANS(P212))))</f>
        <v>-20.0403585377413</v>
      </c>
      <c r="U212" s="0" t="n">
        <f aca="false">TAN(RADIANS(R212/2))*TAN(RADIANS(R212/2))</f>
        <v>0.0430304357716558</v>
      </c>
      <c r="V212" s="0" t="n">
        <f aca="false">4*DEGREES(U212*SIN(2*RADIANS(I212))-2*K212*SIN(RADIANS(J212))+4*K212*U212*SIN(RADIANS(J212))*COS(2*RADIANS(I212))-0.5*U212*U212*SIN(4*RADIANS(I212))-1.25*K212*K212*SIN(2*RADIANS(J212)))</f>
        <v>14.0731857416217</v>
      </c>
      <c r="W212" s="0" t="n">
        <f aca="false">DEGREES(ACOS(COS(RADIANS(90.833))/(COS(RADIANS($B$3))*COS(RADIANS(T212)))-TAN(RADIANS($B$3))*TAN(RADIANS(T212))))</f>
        <v>43.3073554716445</v>
      </c>
      <c r="X212" s="7" t="n">
        <f aca="false">(720-4*$B$4-V212+$B$5*60)/1440</f>
        <v>0.499963065457207</v>
      </c>
      <c r="Y212" s="7" t="n">
        <f aca="false">X212-W212*4/1440</f>
        <v>0.37966485581375</v>
      </c>
      <c r="Z212" s="7" t="n">
        <f aca="false">X212+W212*4/1440</f>
        <v>0.620261275100664</v>
      </c>
      <c r="AA212" s="10" t="n">
        <f aca="false">8*W212</f>
        <v>346.458843773156</v>
      </c>
      <c r="AB212" s="0" t="n">
        <f aca="false">MOD(E212*1440+V212+4*$B$4-60*$B$5,1440)</f>
        <v>1266.05318574162</v>
      </c>
      <c r="AC212" s="0" t="n">
        <f aca="false">IF(AB212/4&lt;0,AB212/4+180,AB212/4-180)</f>
        <v>136.513296435405</v>
      </c>
      <c r="AD212" s="0" t="n">
        <f aca="false">DEGREES(ACOS(SIN(RADIANS($B$3))*SIN(RADIANS(T212))+COS(RADIANS($B$3))*COS(RADIANS(T212))*COS(RADIANS(AC212))))</f>
        <v>127.086154784846</v>
      </c>
      <c r="AE212" s="0" t="n">
        <f aca="false">90-AD212</f>
        <v>-37.0861547848461</v>
      </c>
      <c r="AF212" s="0" t="n">
        <f aca="false">IF(AE212&gt;85,0,IF(AE212&gt;5,58.1/TAN(RADIANS(AE212))-0.07/POWER(TAN(RADIANS(AE212)),3)+0.000086/POWER(TAN(RADIANS(AE212)),5),IF(AE212&gt;-0.575,1735+AE212*(-518.2+AE212*(103.4+AE212*(-12.79+AE212*0.711))),-20.772/TAN(RADIANS(AE212)))))/3600</f>
        <v>0.00763314073854062</v>
      </c>
      <c r="AG212" s="0" t="n">
        <f aca="false">AE212+AF212</f>
        <v>-37.0785216441076</v>
      </c>
      <c r="AH212" s="0" t="n">
        <f aca="false">IF(AC212&gt;0,MOD(DEGREES(ACOS(((SIN(RADIANS($B$3))*COS(RADIANS(AD212)))-SIN(RADIANS(T212)))/(COS(RADIANS($B$3))*SIN(RADIANS(AD212)))))+180,360),MOD(540-DEGREES(ACOS(((SIN(RADIANS($B$3))*COS(RADIANS(AD212)))-SIN(RADIANS(T212)))/(COS(RADIANS($B$3))*SIN(RADIANS(AD212))))),360))</f>
        <v>305.860379364218</v>
      </c>
    </row>
    <row r="213" customFormat="false" ht="15" hidden="false" customHeight="false" outlineLevel="0" collapsed="false">
      <c r="D213" s="6" t="n">
        <f aca="false">$B$7</f>
        <v>44886</v>
      </c>
      <c r="E213" s="7" t="n">
        <f aca="false">E212+0.1/24</f>
        <v>0.883333333333331</v>
      </c>
      <c r="F213" s="8" t="n">
        <f aca="false">D213+2415018.5+E213-$B$5/24</f>
        <v>2459905.34166667</v>
      </c>
      <c r="G213" s="9" t="n">
        <f aca="false">(F213-2451545)/36525</f>
        <v>0.22889368012777</v>
      </c>
      <c r="I213" s="0" t="n">
        <f aca="false">MOD(280.46646+G213*(36000.76983+G213*0.0003032),360)</f>
        <v>240.815169706835</v>
      </c>
      <c r="J213" s="0" t="n">
        <f aca="false">357.52911+G213*(35999.05029-0.0001537*G213)</f>
        <v>8597.48420393006</v>
      </c>
      <c r="K213" s="0" t="n">
        <f aca="false">0.016708634-G213*(0.000042037+0.0000001267*G213)</f>
        <v>0.0166990053582619</v>
      </c>
      <c r="L213" s="0" t="n">
        <f aca="false">SIN(RADIANS(J213))*(1.914602-G213*(0.004817+0.000014*G213))+SIN(RADIANS(2*J213))*(0.019993-0.000101*G213)+SIN(RADIANS(3*J213))*0.000289</f>
        <v>-1.31325384823245</v>
      </c>
      <c r="M213" s="0" t="n">
        <f aca="false">I213+L213</f>
        <v>239.501915858603</v>
      </c>
      <c r="N213" s="0" t="n">
        <f aca="false">J213+L213</f>
        <v>8596.17095008183</v>
      </c>
      <c r="O213" s="0" t="n">
        <f aca="false">(1.000001018*(1-K213*K213))/(1+K213*COS(RADIANS(N213)))</f>
        <v>0.987822050242557</v>
      </c>
      <c r="P213" s="0" t="n">
        <f aca="false">M213-0.00569-0.00478*SIN(RADIANS(125.04-1934.136*G213))</f>
        <v>239.493007101019</v>
      </c>
      <c r="Q213" s="0" t="n">
        <f aca="false">23+(26+((21.448-G213*(46.815+G213*(0.00059-G213*0.001813))))/60)/60</f>
        <v>23.4363145369987</v>
      </c>
      <c r="R213" s="0" t="n">
        <f aca="false">Q213+0.00256*COS(RADIANS(125.04-1934.136*G213))</f>
        <v>23.4382071355666</v>
      </c>
      <c r="S213" s="0" t="n">
        <f aca="false">DEGREES(ATAN2(COS(RADIANS(P213)),COS(RADIANS(R213))*SIN(RADIANS(P213))))</f>
        <v>-122.708471230126</v>
      </c>
      <c r="T213" s="0" t="n">
        <f aca="false">DEGREES(ASIN(SIN(RADIANS(R213))*SIN(RADIANS(P213))))</f>
        <v>-20.0412630817333</v>
      </c>
      <c r="U213" s="0" t="n">
        <f aca="false">TAN(RADIANS(R213/2))*TAN(RADIANS(R213/2))</f>
        <v>0.0430304357911222</v>
      </c>
      <c r="V213" s="0" t="n">
        <f aca="false">4*DEGREES(U213*SIN(2*RADIANS(I213))-2*K213*SIN(RADIANS(J213))+4*K213*U213*SIN(RADIANS(J213))*COS(2*RADIANS(I213))-0.5*U213*U213*SIN(4*RADIANS(I213))-1.25*K213*K213*SIN(2*RADIANS(J213)))</f>
        <v>14.0721025156442</v>
      </c>
      <c r="W213" s="0" t="n">
        <f aca="false">DEGREES(ACOS(COS(RADIANS(90.833))/(COS(RADIANS($B$3))*COS(RADIANS(T213)))-TAN(RADIANS($B$3))*TAN(RADIANS(T213))))</f>
        <v>43.3042447281601</v>
      </c>
      <c r="X213" s="7" t="n">
        <f aca="false">(720-4*$B$4-V213+$B$5*60)/1440</f>
        <v>0.499963817697469</v>
      </c>
      <c r="Y213" s="7" t="n">
        <f aca="false">X213-W213*4/1440</f>
        <v>0.379674249008136</v>
      </c>
      <c r="Z213" s="7" t="n">
        <f aca="false">X213+W213*4/1440</f>
        <v>0.620253386386803</v>
      </c>
      <c r="AA213" s="10" t="n">
        <f aca="false">8*W213</f>
        <v>346.433957825281</v>
      </c>
      <c r="AB213" s="0" t="n">
        <f aca="false">MOD(E213*1440+V213+4*$B$4-60*$B$5,1440)</f>
        <v>1272.05210251564</v>
      </c>
      <c r="AC213" s="0" t="n">
        <f aca="false">IF(AB213/4&lt;0,AB213/4+180,AB213/4-180)</f>
        <v>138.01302562891</v>
      </c>
      <c r="AD213" s="0" t="n">
        <f aca="false">DEGREES(ACOS(SIN(RADIANS($B$3))*SIN(RADIANS(T213))+COS(RADIANS($B$3))*COS(RADIANS(T213))*COS(RADIANS(AC213))))</f>
        <v>127.605404838969</v>
      </c>
      <c r="AE213" s="0" t="n">
        <f aca="false">90-AD213</f>
        <v>-37.6054048389687</v>
      </c>
      <c r="AF213" s="0" t="n">
        <f aca="false">IF(AE213&gt;85,0,IF(AE213&gt;5,58.1/TAN(RADIANS(AE213))-0.07/POWER(TAN(RADIANS(AE213)),3)+0.000086/POWER(TAN(RADIANS(AE213)),5),IF(AE213&gt;-0.575,1735+AE213*(-518.2+AE213*(103.4+AE213*(-12.79+AE213*0.711))),-20.772/TAN(RADIANS(AE213)))))/3600</f>
        <v>0.00749103581239691</v>
      </c>
      <c r="AG213" s="0" t="n">
        <f aca="false">AE213+AF213</f>
        <v>-37.5979138031563</v>
      </c>
      <c r="AH213" s="0" t="n">
        <f aca="false">IF(AC213&gt;0,MOD(DEGREES(ACOS(((SIN(RADIANS($B$3))*COS(RADIANS(AD213)))-SIN(RADIANS(T213)))/(COS(RADIANS($B$3))*SIN(RADIANS(AD213)))))+180,360),MOD(540-DEGREES(ACOS(((SIN(RADIANS($B$3))*COS(RADIANS(AD213)))-SIN(RADIANS(T213)))/(COS(RADIANS($B$3))*SIN(RADIANS(AD213))))),360))</f>
        <v>307.507910176906</v>
      </c>
    </row>
    <row r="214" customFormat="false" ht="15" hidden="false" customHeight="false" outlineLevel="0" collapsed="false">
      <c r="D214" s="6" t="n">
        <f aca="false">$B$7</f>
        <v>44886</v>
      </c>
      <c r="E214" s="7" t="n">
        <f aca="false">E213+0.1/24</f>
        <v>0.887499999999998</v>
      </c>
      <c r="F214" s="8" t="n">
        <f aca="false">D214+2415018.5+E214-$B$5/24</f>
        <v>2459905.34583333</v>
      </c>
      <c r="G214" s="9" t="n">
        <f aca="false">(F214-2451545)/36525</f>
        <v>0.228893794204892</v>
      </c>
      <c r="I214" s="0" t="n">
        <f aca="false">MOD(280.46646+G214*(36000.76983+G214*0.0003032),360)</f>
        <v>240.819276571065</v>
      </c>
      <c r="J214" s="0" t="n">
        <f aca="false">357.52911+G214*(35999.05029-0.0001537*G214)</f>
        <v>8597.4883105981</v>
      </c>
      <c r="K214" s="0" t="n">
        <f aca="false">0.016708634-G214*(0.000042037+0.0000001267*G214)</f>
        <v>0.0166990053534599</v>
      </c>
      <c r="L214" s="0" t="n">
        <f aca="false">SIN(RADIANS(J214))*(1.914602-G214*(0.004817+0.000014*G214))+SIN(RADIANS(2*J214))*(0.019993-0.000101*G214)+SIN(RADIANS(3*J214))*0.000289</f>
        <v>-1.31315254238184</v>
      </c>
      <c r="M214" s="0" t="n">
        <f aca="false">I214+L214</f>
        <v>239.506124028683</v>
      </c>
      <c r="N214" s="0" t="n">
        <f aca="false">J214+L214</f>
        <v>8596.17515805572</v>
      </c>
      <c r="O214" s="0" t="n">
        <f aca="false">(1.000001018*(1-K214*K214))/(1+K214*COS(RADIANS(N214)))</f>
        <v>0.987821221297532</v>
      </c>
      <c r="P214" s="0" t="n">
        <f aca="false">M214-0.00569-0.00478*SIN(RADIANS(125.04-1934.136*G214))</f>
        <v>239.497215284708</v>
      </c>
      <c r="Q214" s="0" t="n">
        <f aca="false">23+(26+((21.448-G214*(46.815+G214*(0.00059-G214*0.001813))))/60)/60</f>
        <v>23.4363145355152</v>
      </c>
      <c r="R214" s="0" t="n">
        <f aca="false">Q214+0.00256*COS(RADIANS(125.04-1934.136*G214))</f>
        <v>23.4382071407215</v>
      </c>
      <c r="S214" s="0" t="n">
        <f aca="false">DEGREES(ATAN2(COS(RADIANS(P214)),COS(RADIANS(R214))*SIN(RADIANS(P214))))</f>
        <v>-122.704096467109</v>
      </c>
      <c r="T214" s="0" t="n">
        <f aca="false">DEGREES(ASIN(SIN(RADIANS(R214))*SIN(RADIANS(P214))))</f>
        <v>-20.042167519806</v>
      </c>
      <c r="U214" s="0" t="n">
        <f aca="false">TAN(RADIANS(R214/2))*TAN(RADIANS(R214/2))</f>
        <v>0.0430304358105885</v>
      </c>
      <c r="V214" s="0" t="n">
        <f aca="false">4*DEGREES(U214*SIN(2*RADIANS(I214))-2*K214*SIN(RADIANS(J214))+4*K214*U214*SIN(RADIANS(J214))*COS(2*RADIANS(I214))-0.5*U214*U214*SIN(4*RADIANS(I214))-1.25*K214*K214*SIN(2*RADIANS(J214)))</f>
        <v>14.0710190587022</v>
      </c>
      <c r="W214" s="0" t="n">
        <f aca="false">DEGREES(ACOS(COS(RADIANS(90.833))/(COS(RADIANS($B$3))*COS(RADIANS(T214)))-TAN(RADIANS($B$3))*TAN(RADIANS(T214))))</f>
        <v>43.3011341346803</v>
      </c>
      <c r="X214" s="7" t="n">
        <f aca="false">(720-4*$B$4-V214+$B$5*60)/1440</f>
        <v>0.499964570098123</v>
      </c>
      <c r="Y214" s="7" t="n">
        <f aca="false">X214-W214*4/1440</f>
        <v>0.379683641946234</v>
      </c>
      <c r="Z214" s="7" t="n">
        <f aca="false">X214+W214*4/1440</f>
        <v>0.620245498250013</v>
      </c>
      <c r="AA214" s="10" t="n">
        <f aca="false">8*W214</f>
        <v>346.409073077442</v>
      </c>
      <c r="AB214" s="0" t="n">
        <f aca="false">MOD(E214*1440+V214+4*$B$4-60*$B$5,1440)</f>
        <v>1278.0510190587</v>
      </c>
      <c r="AC214" s="0" t="n">
        <f aca="false">IF(AB214/4&lt;0,AB214/4+180,AB214/4-180)</f>
        <v>139.512754764675</v>
      </c>
      <c r="AD214" s="0" t="n">
        <f aca="false">DEGREES(ACOS(SIN(RADIANS($B$3))*SIN(RADIANS(T214))+COS(RADIANS($B$3))*COS(RADIANS(T214))*COS(RADIANS(AC214))))</f>
        <v>128.113280825601</v>
      </c>
      <c r="AE214" s="0" t="n">
        <f aca="false">90-AD214</f>
        <v>-38.1132808256013</v>
      </c>
      <c r="AF214" s="0" t="n">
        <f aca="false">IF(AE214&gt;85,0,IF(AE214&gt;5,58.1/TAN(RADIANS(AE214))-0.07/POWER(TAN(RADIANS(AE214)),3)+0.000086/POWER(TAN(RADIANS(AE214)),5),IF(AE214&gt;-0.575,1735+AE214*(-518.2+AE214*(103.4+AE214*(-12.79+AE214*0.711))),-20.772/TAN(RADIANS(AE214)))))/3600</f>
        <v>0.00735524198269961</v>
      </c>
      <c r="AG214" s="0" t="n">
        <f aca="false">AE214+AF214</f>
        <v>-38.1059255836186</v>
      </c>
      <c r="AH214" s="0" t="n">
        <f aca="false">IF(AC214&gt;0,MOD(DEGREES(ACOS(((SIN(RADIANS($B$3))*COS(RADIANS(AD214)))-SIN(RADIANS(T214)))/(COS(RADIANS($B$3))*SIN(RADIANS(AD214)))))+180,360),MOD(540-DEGREES(ACOS(((SIN(RADIANS($B$3))*COS(RADIANS(AD214)))-SIN(RADIANS(T214)))/(COS(RADIANS($B$3))*SIN(RADIANS(AD214))))),360))</f>
        <v>309.172482900545</v>
      </c>
    </row>
    <row r="215" customFormat="false" ht="15" hidden="false" customHeight="false" outlineLevel="0" collapsed="false">
      <c r="D215" s="6" t="n">
        <f aca="false">$B$7</f>
        <v>44886</v>
      </c>
      <c r="E215" s="7" t="n">
        <f aca="false">E214+0.1/24</f>
        <v>0.891666666666665</v>
      </c>
      <c r="F215" s="8" t="n">
        <f aca="false">D215+2415018.5+E215-$B$5/24</f>
        <v>2459905.35</v>
      </c>
      <c r="G215" s="9" t="n">
        <f aca="false">(F215-2451545)/36525</f>
        <v>0.228893908282001</v>
      </c>
      <c r="I215" s="0" t="n">
        <f aca="false">MOD(280.46646+G215*(36000.76983+G215*0.0003032),360)</f>
        <v>240.823383434836</v>
      </c>
      <c r="J215" s="0" t="n">
        <f aca="false">357.52911+G215*(35999.05029-0.0001537*G215)</f>
        <v>8597.49241726569</v>
      </c>
      <c r="K215" s="0" t="n">
        <f aca="false">0.016708634-G215*(0.000042037+0.0000001267*G215)</f>
        <v>0.0166990053486578</v>
      </c>
      <c r="L215" s="0" t="n">
        <f aca="false">SIN(RADIANS(J215))*(1.914602-G215*(0.004817+0.000014*G215))+SIN(RADIANS(2*J215))*(0.019993-0.000101*G215)+SIN(RADIANS(3*J215))*0.000289</f>
        <v>-1.31305122948043</v>
      </c>
      <c r="M215" s="0" t="n">
        <f aca="false">I215+L215</f>
        <v>239.510332205355</v>
      </c>
      <c r="N215" s="0" t="n">
        <f aca="false">J215+L215</f>
        <v>8596.17936603621</v>
      </c>
      <c r="O215" s="0" t="n">
        <f aca="false">(1.000001018*(1-K215*K215))/(1+K215*COS(RADIANS(N215)))</f>
        <v>0.987820392416029</v>
      </c>
      <c r="P215" s="0" t="n">
        <f aca="false">M215-0.00569-0.00478*SIN(RADIANS(125.04-1934.136*G215))</f>
        <v>239.501423474989</v>
      </c>
      <c r="Q215" s="0" t="n">
        <f aca="false">23+(26+((21.448-G215*(46.815+G215*(0.00059-G215*0.001813))))/60)/60</f>
        <v>23.4363145340318</v>
      </c>
      <c r="R215" s="0" t="n">
        <f aca="false">Q215+0.00256*COS(RADIANS(125.04-1934.136*G215))</f>
        <v>23.4382071458764</v>
      </c>
      <c r="S215" s="0" t="n">
        <f aca="false">DEGREES(ATAN2(COS(RADIANS(P215)),COS(RADIANS(R215))*SIN(RADIANS(P215))))</f>
        <v>-122.699721646856</v>
      </c>
      <c r="T215" s="0" t="n">
        <f aca="false">DEGREES(ASIN(SIN(RADIANS(R215))*SIN(RADIANS(P215))))</f>
        <v>-20.0430718517508</v>
      </c>
      <c r="U215" s="0" t="n">
        <f aca="false">TAN(RADIANS(R215/2))*TAN(RADIANS(R215/2))</f>
        <v>0.0430304358300547</v>
      </c>
      <c r="V215" s="0" t="n">
        <f aca="false">4*DEGREES(U215*SIN(2*RADIANS(I215))-2*K215*SIN(RADIANS(J215))+4*K215*U215*SIN(RADIANS(J215))*COS(2*RADIANS(I215))-0.5*U215*U215*SIN(4*RADIANS(I215))-1.25*K215*K215*SIN(2*RADIANS(J215)))</f>
        <v>14.0699353710507</v>
      </c>
      <c r="W215" s="0" t="n">
        <f aca="false">DEGREES(ACOS(COS(RADIANS(90.833))/(COS(RADIANS($B$3))*COS(RADIANS(T215)))-TAN(RADIANS($B$3))*TAN(RADIANS(T215))))</f>
        <v>43.2980236919494</v>
      </c>
      <c r="X215" s="7" t="n">
        <f aca="false">(720-4*$B$4-V215+$B$5*60)/1440</f>
        <v>0.499965322658993</v>
      </c>
      <c r="Y215" s="7" t="n">
        <f aca="false">X215-W215*4/1440</f>
        <v>0.3796930346258</v>
      </c>
      <c r="Z215" s="7" t="n">
        <f aca="false">X215+W215*4/1440</f>
        <v>0.620237610692185</v>
      </c>
      <c r="AA215" s="10" t="n">
        <f aca="false">8*W215</f>
        <v>346.384189535595</v>
      </c>
      <c r="AB215" s="0" t="n">
        <f aca="false">MOD(E215*1440+V215+4*$B$4-60*$B$5,1440)</f>
        <v>1284.04993537105</v>
      </c>
      <c r="AC215" s="0" t="n">
        <f aca="false">IF(AB215/4&lt;0,AB215/4+180,AB215/4-180)</f>
        <v>141.012483842762</v>
      </c>
      <c r="AD215" s="0" t="n">
        <f aca="false">DEGREES(ACOS(SIN(RADIANS($B$3))*SIN(RADIANS(T215))+COS(RADIANS($B$3))*COS(RADIANS(T215))*COS(RADIANS(AC215))))</f>
        <v>128.609234842636</v>
      </c>
      <c r="AE215" s="0" t="n">
        <f aca="false">90-AD215</f>
        <v>-38.6092348426362</v>
      </c>
      <c r="AF215" s="0" t="n">
        <f aca="false">IF(AE215&gt;85,0,IF(AE215&gt;5,58.1/TAN(RADIANS(AE215))-0.07/POWER(TAN(RADIANS(AE215)),3)+0.000086/POWER(TAN(RADIANS(AE215)),5),IF(AE215&gt;-0.575,1735+AE215*(-518.2+AE215*(103.4+AE215*(-12.79+AE215*0.711))),-20.772/TAN(RADIANS(AE215)))))/3600</f>
        <v>0.00722556528408349</v>
      </c>
      <c r="AG215" s="0" t="n">
        <f aca="false">AE215+AF215</f>
        <v>-38.6020092773521</v>
      </c>
      <c r="AH215" s="0" t="n">
        <f aca="false">IF(AC215&gt;0,MOD(DEGREES(ACOS(((SIN(RADIANS($B$3))*COS(RADIANS(AD215)))-SIN(RADIANS(T215)))/(COS(RADIANS($B$3))*SIN(RADIANS(AD215)))))+180,360),MOD(540-DEGREES(ACOS(((SIN(RADIANS($B$3))*COS(RADIANS(AD215)))-SIN(RADIANS(T215)))/(COS(RADIANS($B$3))*SIN(RADIANS(AD215))))),360))</f>
        <v>310.854319405977</v>
      </c>
    </row>
    <row r="216" customFormat="false" ht="15" hidden="false" customHeight="false" outlineLevel="0" collapsed="false">
      <c r="D216" s="6" t="n">
        <f aca="false">$B$7</f>
        <v>44886</v>
      </c>
      <c r="E216" s="7" t="n">
        <f aca="false">E215+0.1/24</f>
        <v>0.895833333333331</v>
      </c>
      <c r="F216" s="8" t="n">
        <f aca="false">D216+2415018.5+E216-$B$5/24</f>
        <v>2459905.35416667</v>
      </c>
      <c r="G216" s="9" t="n">
        <f aca="false">(F216-2451545)/36525</f>
        <v>0.228894022359123</v>
      </c>
      <c r="I216" s="0" t="n">
        <f aca="false">MOD(280.46646+G216*(36000.76983+G216*0.0003032),360)</f>
        <v>240.827490299067</v>
      </c>
      <c r="J216" s="0" t="n">
        <f aca="false">357.52911+G216*(35999.05029-0.0001537*G216)</f>
        <v>8597.49652393374</v>
      </c>
      <c r="K216" s="0" t="n">
        <f aca="false">0.016708634-G216*(0.000042037+0.0000001267*G216)</f>
        <v>0.0166990053438557</v>
      </c>
      <c r="L216" s="0" t="n">
        <f aca="false">SIN(RADIANS(J216))*(1.914602-G216*(0.004817+0.000014*G216))+SIN(RADIANS(2*J216))*(0.019993-0.000101*G216)+SIN(RADIANS(3*J216))*0.000289</f>
        <v>-1.31294990950624</v>
      </c>
      <c r="M216" s="0" t="n">
        <f aca="false">I216+L216</f>
        <v>239.514540389561</v>
      </c>
      <c r="N216" s="0" t="n">
        <f aca="false">J216+L216</f>
        <v>8596.18357402423</v>
      </c>
      <c r="O216" s="0" t="n">
        <f aca="false">(1.000001018*(1-K216*K216))/(1+K216*COS(RADIANS(N216)))</f>
        <v>0.987819563597866</v>
      </c>
      <c r="P216" s="0" t="n">
        <f aca="false">M216-0.00569-0.00478*SIN(RADIANS(125.04-1934.136*G216))</f>
        <v>239.505631672803</v>
      </c>
      <c r="Q216" s="0" t="n">
        <f aca="false">23+(26+((21.448-G216*(46.815+G216*(0.00059-G216*0.001813))))/60)/60</f>
        <v>23.4363145325483</v>
      </c>
      <c r="R216" s="0" t="n">
        <f aca="false">Q216+0.00256*COS(RADIANS(125.04-1934.136*G216))</f>
        <v>23.4382071510312</v>
      </c>
      <c r="S216" s="0" t="n">
        <f aca="false">DEGREES(ATAN2(COS(RADIANS(P216)),COS(RADIANS(R216))*SIN(RADIANS(P216))))</f>
        <v>-122.695346768392</v>
      </c>
      <c r="T216" s="0" t="n">
        <f aca="false">DEGREES(ASIN(SIN(RADIANS(R216))*SIN(RADIANS(P216))))</f>
        <v>-20.0439760777628</v>
      </c>
      <c r="U216" s="0" t="n">
        <f aca="false">TAN(RADIANS(R216/2))*TAN(RADIANS(R216/2))</f>
        <v>0.0430304358495207</v>
      </c>
      <c r="V216" s="0" t="n">
        <f aca="false">4*DEGREES(U216*SIN(2*RADIANS(I216))-2*K216*SIN(RADIANS(J216))+4*K216*U216*SIN(RADIANS(J216))*COS(2*RADIANS(I216))-0.5*U216*U216*SIN(4*RADIANS(I216))-1.25*K216*K216*SIN(2*RADIANS(J216)))</f>
        <v>14.0688514524623</v>
      </c>
      <c r="W216" s="0" t="n">
        <f aca="false">DEGREES(ACOS(COS(RADIANS(90.833))/(COS(RADIANS($B$3))*COS(RADIANS(T216)))-TAN(RADIANS($B$3))*TAN(RADIANS(T216))))</f>
        <v>43.2949133993238</v>
      </c>
      <c r="X216" s="7" t="n">
        <f aca="false">(720-4*$B$4-V216+$B$5*60)/1440</f>
        <v>0.499966075380234</v>
      </c>
      <c r="Y216" s="7" t="n">
        <f aca="false">X216-W216*4/1440</f>
        <v>0.37970242704878</v>
      </c>
      <c r="Z216" s="7" t="n">
        <f aca="false">X216+W216*4/1440</f>
        <v>0.620229723711689</v>
      </c>
      <c r="AA216" s="10" t="n">
        <f aca="false">8*W216</f>
        <v>346.35930719459</v>
      </c>
      <c r="AB216" s="0" t="n">
        <f aca="false">MOD(E216*1440+V216+4*$B$4-60*$B$5,1440)</f>
        <v>1290.04885145246</v>
      </c>
      <c r="AC216" s="0" t="n">
        <f aca="false">IF(AB216/4&lt;0,AB216/4+180,AB216/4-180)</f>
        <v>142.512212863115</v>
      </c>
      <c r="AD216" s="0" t="n">
        <f aca="false">DEGREES(ACOS(SIN(RADIANS($B$3))*SIN(RADIANS(T216))+COS(RADIANS($B$3))*COS(RADIANS(T216))*COS(RADIANS(AC216))))</f>
        <v>129.092714496105</v>
      </c>
      <c r="AE216" s="0" t="n">
        <f aca="false">90-AD216</f>
        <v>-39.0927144961046</v>
      </c>
      <c r="AF216" s="0" t="n">
        <f aca="false">IF(AE216&gt;85,0,IF(AE216&gt;5,58.1/TAN(RADIANS(AE216))-0.07/POWER(TAN(RADIANS(AE216)),3)+0.000086/POWER(TAN(RADIANS(AE216)),5),IF(AE216&gt;-0.575,1735+AE216*(-518.2+AE216*(103.4+AE216*(-12.79+AE216*0.711))),-20.772/TAN(RADIANS(AE216)))))/3600</f>
        <v>0.00710182828943443</v>
      </c>
      <c r="AG216" s="0" t="n">
        <f aca="false">AE216+AF216</f>
        <v>-39.0856126678151</v>
      </c>
      <c r="AH216" s="0" t="n">
        <f aca="false">IF(AC216&gt;0,MOD(DEGREES(ACOS(((SIN(RADIANS($B$3))*COS(RADIANS(AD216)))-SIN(RADIANS(T216)))/(COS(RADIANS($B$3))*SIN(RADIANS(AD216)))))+180,360),MOD(540-DEGREES(ACOS(((SIN(RADIANS($B$3))*COS(RADIANS(AD216)))-SIN(RADIANS(T216)))/(COS(RADIANS($B$3))*SIN(RADIANS(AD216))))),360))</f>
        <v>312.553600650713</v>
      </c>
    </row>
    <row r="217" customFormat="false" ht="15" hidden="false" customHeight="false" outlineLevel="0" collapsed="false">
      <c r="D217" s="6" t="n">
        <f aca="false">$B$7</f>
        <v>44886</v>
      </c>
      <c r="E217" s="7" t="n">
        <f aca="false">E216+0.1/24</f>
        <v>0.899999999999998</v>
      </c>
      <c r="F217" s="8" t="n">
        <f aca="false">D217+2415018.5+E217-$B$5/24</f>
        <v>2459905.35833333</v>
      </c>
      <c r="G217" s="9" t="n">
        <f aca="false">(F217-2451545)/36525</f>
        <v>0.228894136436233</v>
      </c>
      <c r="I217" s="0" t="n">
        <f aca="false">MOD(280.46646+G217*(36000.76983+G217*0.0003032),360)</f>
        <v>240.83159716284</v>
      </c>
      <c r="J217" s="0" t="n">
        <f aca="false">357.52911+G217*(35999.05029-0.0001537*G217)</f>
        <v>8597.50063060133</v>
      </c>
      <c r="K217" s="0" t="n">
        <f aca="false">0.016708634-G217*(0.000042037+0.0000001267*G217)</f>
        <v>0.0166990053390536</v>
      </c>
      <c r="L217" s="0" t="n">
        <f aca="false">SIN(RADIANS(J217))*(1.914602-G217*(0.004817+0.000014*G217))+SIN(RADIANS(2*J217))*(0.019993-0.000101*G217)+SIN(RADIANS(3*J217))*0.000289</f>
        <v>-1.31284858248236</v>
      </c>
      <c r="M217" s="0" t="n">
        <f aca="false">I217+L217</f>
        <v>239.518748580358</v>
      </c>
      <c r="N217" s="0" t="n">
        <f aca="false">J217+L217</f>
        <v>8596.18778201885</v>
      </c>
      <c r="O217" s="0" t="n">
        <f aca="false">(1.000001018*(1-K217*K217))/(1+K217*COS(RADIANS(N217)))</f>
        <v>0.987818734843234</v>
      </c>
      <c r="P217" s="0" t="n">
        <f aca="false">M217-0.00569-0.00478*SIN(RADIANS(125.04-1934.136*G217))</f>
        <v>239.509839877209</v>
      </c>
      <c r="Q217" s="0" t="n">
        <f aca="false">23+(26+((21.448-G217*(46.815+G217*(0.00059-G217*0.001813))))/60)/60</f>
        <v>23.4363145310648</v>
      </c>
      <c r="R217" s="0" t="n">
        <f aca="false">Q217+0.00256*COS(RADIANS(125.04-1934.136*G217))</f>
        <v>23.438207156186</v>
      </c>
      <c r="S217" s="0" t="n">
        <f aca="false">DEGREES(ATAN2(COS(RADIANS(P217)),COS(RADIANS(R217))*SIN(RADIANS(P217))))</f>
        <v>-122.690971832699</v>
      </c>
      <c r="T217" s="0" t="n">
        <f aca="false">DEGREES(ASIN(SIN(RADIANS(R217))*SIN(RADIANS(P217))))</f>
        <v>-20.0448801976327</v>
      </c>
      <c r="U217" s="0" t="n">
        <f aca="false">TAN(RADIANS(R217/2))*TAN(RADIANS(R217/2))</f>
        <v>0.0430304358689867</v>
      </c>
      <c r="V217" s="0" t="n">
        <f aca="false">4*DEGREES(U217*SIN(2*RADIANS(I217))-2*K217*SIN(RADIANS(J217))+4*K217*U217*SIN(RADIANS(J217))*COS(2*RADIANS(I217))-0.5*U217*U217*SIN(4*RADIANS(I217))-1.25*K217*K217*SIN(2*RADIANS(J217)))</f>
        <v>14.0677673031935</v>
      </c>
      <c r="W217" s="0" t="n">
        <f aca="false">DEGREES(ACOS(COS(RADIANS(90.833))/(COS(RADIANS($B$3))*COS(RADIANS(T217)))-TAN(RADIANS($B$3))*TAN(RADIANS(T217))))</f>
        <v>43.2918032575505</v>
      </c>
      <c r="X217" s="7" t="n">
        <f aca="false">(720-4*$B$4-V217+$B$5*60)/1440</f>
        <v>0.499966828261671</v>
      </c>
      <c r="Y217" s="7" t="n">
        <f aca="false">X217-W217*4/1440</f>
        <v>0.37971181921292</v>
      </c>
      <c r="Z217" s="7" t="n">
        <f aca="false">X217+W217*4/1440</f>
        <v>0.620221837310423</v>
      </c>
      <c r="AA217" s="10" t="n">
        <f aca="false">8*W217</f>
        <v>346.334426060404</v>
      </c>
      <c r="AB217" s="0" t="n">
        <f aca="false">MOD(E217*1440+V217+4*$B$4-60*$B$5,1440)</f>
        <v>1296.04776730319</v>
      </c>
      <c r="AC217" s="0" t="n">
        <f aca="false">IF(AB217/4&lt;0,AB217/4+180,AB217/4-180)</f>
        <v>144.011941825798</v>
      </c>
      <c r="AD217" s="0" t="n">
        <f aca="false">DEGREES(ACOS(SIN(RADIANS($B$3))*SIN(RADIANS(T217))+COS(RADIANS($B$3))*COS(RADIANS(T217))*COS(RADIANS(AC217))))</f>
        <v>129.563163908836</v>
      </c>
      <c r="AE217" s="0" t="n">
        <f aca="false">90-AD217</f>
        <v>-39.5631639088361</v>
      </c>
      <c r="AF217" s="0" t="n">
        <f aca="false">IF(AE217&gt;85,0,IF(AE217&gt;5,58.1/TAN(RADIANS(AE217))-0.07/POWER(TAN(RADIANS(AE217)),3)+0.000086/POWER(TAN(RADIANS(AE217)),5),IF(AE217&gt;-0.575,1735+AE217*(-518.2+AE217*(103.4+AE217*(-12.79+AE217*0.711))),-20.772/TAN(RADIANS(AE217)))))/3600</f>
        <v>0.00698386894575828</v>
      </c>
      <c r="AG217" s="0" t="n">
        <f aca="false">AE217+AF217</f>
        <v>-39.5561800398903</v>
      </c>
      <c r="AH217" s="0" t="n">
        <f aca="false">IF(AC217&gt;0,MOD(DEGREES(ACOS(((SIN(RADIANS($B$3))*COS(RADIANS(AD217)))-SIN(RADIANS(T217)))/(COS(RADIANS($B$3))*SIN(RADIANS(AD217)))))+180,360),MOD(540-DEGREES(ACOS(((SIN(RADIANS($B$3))*COS(RADIANS(AD217)))-SIN(RADIANS(T217)))/(COS(RADIANS($B$3))*SIN(RADIANS(AD217))))),360))</f>
        <v>314.270462835463</v>
      </c>
    </row>
    <row r="218" customFormat="false" ht="15" hidden="false" customHeight="false" outlineLevel="0" collapsed="false">
      <c r="D218" s="6" t="n">
        <f aca="false">$B$7</f>
        <v>44886</v>
      </c>
      <c r="E218" s="7" t="n">
        <f aca="false">E217+0.1/24</f>
        <v>0.904166666666665</v>
      </c>
      <c r="F218" s="8" t="n">
        <f aca="false">D218+2415018.5+E218-$B$5/24</f>
        <v>2459905.3625</v>
      </c>
      <c r="G218" s="9" t="n">
        <f aca="false">(F218-2451545)/36525</f>
        <v>0.228894250513355</v>
      </c>
      <c r="I218" s="0" t="n">
        <f aca="false">MOD(280.46646+G218*(36000.76983+G218*0.0003032),360)</f>
        <v>240.835704027071</v>
      </c>
      <c r="J218" s="0" t="n">
        <f aca="false">357.52911+G218*(35999.05029-0.0001537*G218)</f>
        <v>8597.50473726937</v>
      </c>
      <c r="K218" s="0" t="n">
        <f aca="false">0.016708634-G218*(0.000042037+0.0000001267*G218)</f>
        <v>0.0166990053342516</v>
      </c>
      <c r="L218" s="0" t="n">
        <f aca="false">SIN(RADIANS(J218))*(1.914602-G218*(0.004817+0.000014*G218))+SIN(RADIANS(2*J218))*(0.019993-0.000101*G218)+SIN(RADIANS(3*J218))*0.000289</f>
        <v>-1.31274724838683</v>
      </c>
      <c r="M218" s="0" t="n">
        <f aca="false">I218+L218</f>
        <v>239.522956778684</v>
      </c>
      <c r="N218" s="0" t="n">
        <f aca="false">J218+L218</f>
        <v>8596.19199002099</v>
      </c>
      <c r="O218" s="0" t="n">
        <f aca="false">(1.000001018*(1-K218*K218))/(1+K218*COS(RADIANS(N218)))</f>
        <v>0.987817906151951</v>
      </c>
      <c r="P218" s="0" t="n">
        <f aca="false">M218-0.00569-0.00478*SIN(RADIANS(125.04-1934.136*G218))</f>
        <v>239.514048089144</v>
      </c>
      <c r="Q218" s="0" t="n">
        <f aca="false">23+(26+((21.448-G218*(46.815+G218*(0.00059-G218*0.001813))))/60)/60</f>
        <v>23.4363145295813</v>
      </c>
      <c r="R218" s="0" t="n">
        <f aca="false">Q218+0.00256*COS(RADIANS(125.04-1934.136*G218))</f>
        <v>23.4382071613408</v>
      </c>
      <c r="S218" s="0" t="n">
        <f aca="false">DEGREES(ATAN2(COS(RADIANS(P218)),COS(RADIANS(R218))*SIN(RADIANS(P218))))</f>
        <v>-122.686596838804</v>
      </c>
      <c r="T218" s="0" t="n">
        <f aca="false">DEGREES(ASIN(SIN(RADIANS(R218))*SIN(RADIANS(P218))))</f>
        <v>-20.0457842115549</v>
      </c>
      <c r="U218" s="0" t="n">
        <f aca="false">TAN(RADIANS(R218/2))*TAN(RADIANS(R218/2))</f>
        <v>0.0430304358884525</v>
      </c>
      <c r="V218" s="0" t="n">
        <f aca="false">4*DEGREES(U218*SIN(2*RADIANS(I218))-2*K218*SIN(RADIANS(J218))+4*K218*U218*SIN(RADIANS(J218))*COS(2*RADIANS(I218))-0.5*U218*U218*SIN(4*RADIANS(I218))-1.25*K218*K218*SIN(2*RADIANS(J218)))</f>
        <v>14.0666829230172</v>
      </c>
      <c r="W218" s="0" t="n">
        <f aca="false">DEGREES(ACOS(COS(RADIANS(90.833))/(COS(RADIANS($B$3))*COS(RADIANS(T218)))-TAN(RADIANS($B$3))*TAN(RADIANS(T218))))</f>
        <v>43.2886932659872</v>
      </c>
      <c r="X218" s="7" t="n">
        <f aca="false">(720-4*$B$4-V218+$B$5*60)/1440</f>
        <v>0.49996758130346</v>
      </c>
      <c r="Y218" s="7" t="n">
        <f aca="false">X218-W218*4/1440</f>
        <v>0.379721211120163</v>
      </c>
      <c r="Z218" s="7" t="n">
        <f aca="false">X218+W218*4/1440</f>
        <v>0.620213951486758</v>
      </c>
      <c r="AA218" s="10" t="n">
        <f aca="false">8*W218</f>
        <v>346.309546127898</v>
      </c>
      <c r="AB218" s="0" t="n">
        <f aca="false">MOD(E218*1440+V218+4*$B$4-60*$B$5,1440)</f>
        <v>1302.04668292301</v>
      </c>
      <c r="AC218" s="0" t="n">
        <f aca="false">IF(AB218/4&lt;0,AB218/4+180,AB218/4-180)</f>
        <v>145.511670730754</v>
      </c>
      <c r="AD218" s="0" t="n">
        <f aca="false">DEGREES(ACOS(SIN(RADIANS($B$3))*SIN(RADIANS(T218))+COS(RADIANS($B$3))*COS(RADIANS(T218))*COS(RADIANS(AC218))))</f>
        <v>130.020024867421</v>
      </c>
      <c r="AE218" s="0" t="n">
        <f aca="false">90-AD218</f>
        <v>-40.0200248674208</v>
      </c>
      <c r="AF218" s="0" t="n">
        <f aca="false">IF(AE218&gt;85,0,IF(AE218&gt;5,58.1/TAN(RADIANS(AE218))-0.07/POWER(TAN(RADIANS(AE218)),3)+0.000086/POWER(TAN(RADIANS(AE218)),5),IF(AE218&gt;-0.575,1735+AE218*(-518.2+AE218*(103.4+AE218*(-12.79+AE218*0.711))),-20.772/TAN(RADIANS(AE218)))))/3600</f>
        <v>0.00687153949683407</v>
      </c>
      <c r="AG218" s="0" t="n">
        <f aca="false">AE218+AF218</f>
        <v>-40.013153327924</v>
      </c>
      <c r="AH218" s="0" t="n">
        <f aca="false">IF(AC218&gt;0,MOD(DEGREES(ACOS(((SIN(RADIANS($B$3))*COS(RADIANS(AD218)))-SIN(RADIANS(T218)))/(COS(RADIANS($B$3))*SIN(RADIANS(AD218)))))+180,360),MOD(540-DEGREES(ACOS(((SIN(RADIANS($B$3))*COS(RADIANS(AD218)))-SIN(RADIANS(T218)))/(COS(RADIANS($B$3))*SIN(RADIANS(AD218))))),360))</f>
        <v>316.004993511941</v>
      </c>
    </row>
    <row r="219" customFormat="false" ht="15" hidden="false" customHeight="false" outlineLevel="0" collapsed="false">
      <c r="D219" s="6" t="n">
        <f aca="false">$B$7</f>
        <v>44886</v>
      </c>
      <c r="E219" s="7" t="n">
        <f aca="false">E218+0.1/24</f>
        <v>0.908333333333331</v>
      </c>
      <c r="F219" s="8" t="n">
        <f aca="false">D219+2415018.5+E219-$B$5/24</f>
        <v>2459905.36666667</v>
      </c>
      <c r="G219" s="9" t="n">
        <f aca="false">(F219-2451545)/36525</f>
        <v>0.228894364590464</v>
      </c>
      <c r="I219" s="0" t="n">
        <f aca="false">MOD(280.46646+G219*(36000.76983+G219*0.0003032),360)</f>
        <v>240.83981089084</v>
      </c>
      <c r="J219" s="0" t="n">
        <f aca="false">357.52911+G219*(35999.05029-0.0001537*G219)</f>
        <v>8597.50884393696</v>
      </c>
      <c r="K219" s="0" t="n">
        <f aca="false">0.016708634-G219*(0.000042037+0.0000001267*G219)</f>
        <v>0.0166990053294495</v>
      </c>
      <c r="L219" s="0" t="n">
        <f aca="false">SIN(RADIANS(J219))*(1.914602-G219*(0.004817+0.000014*G219))+SIN(RADIANS(2*J219))*(0.019993-0.000101*G219)+SIN(RADIANS(3*J219))*0.000289</f>
        <v>-1.31264590724263</v>
      </c>
      <c r="M219" s="0" t="n">
        <f aca="false">I219+L219</f>
        <v>239.527164983598</v>
      </c>
      <c r="N219" s="0" t="n">
        <f aca="false">J219+L219</f>
        <v>8596.19619802972</v>
      </c>
      <c r="O219" s="0" t="n">
        <f aca="false">(1.000001018*(1-K219*K219))/(1+K219*COS(RADIANS(N219)))</f>
        <v>0.987817077524208</v>
      </c>
      <c r="P219" s="0" t="n">
        <f aca="false">M219-0.00569-0.00478*SIN(RADIANS(125.04-1934.136*G219))</f>
        <v>239.518256307666</v>
      </c>
      <c r="Q219" s="0" t="n">
        <f aca="false">23+(26+((21.448-G219*(46.815+G219*(0.00059-G219*0.001813))))/60)/60</f>
        <v>23.4363145280978</v>
      </c>
      <c r="R219" s="0" t="n">
        <f aca="false">Q219+0.00256*COS(RADIANS(125.04-1934.136*G219))</f>
        <v>23.4382071664956</v>
      </c>
      <c r="S219" s="0" t="n">
        <f aca="false">DEGREES(ATAN2(COS(RADIANS(P219)),COS(RADIANS(R219))*SIN(RADIANS(P219))))</f>
        <v>-122.68222178769</v>
      </c>
      <c r="T219" s="0" t="n">
        <f aca="false">DEGREES(ASIN(SIN(RADIANS(R219))*SIN(RADIANS(P219))))</f>
        <v>-20.0466881193199</v>
      </c>
      <c r="U219" s="0" t="n">
        <f aca="false">TAN(RADIANS(R219/2))*TAN(RADIANS(R219/2))</f>
        <v>0.0430304359079183</v>
      </c>
      <c r="V219" s="0" t="n">
        <f aca="false">4*DEGREES(U219*SIN(2*RADIANS(I219))-2*K219*SIN(RADIANS(J219))+4*K219*U219*SIN(RADIANS(J219))*COS(2*RADIANS(I219))-0.5*U219*U219*SIN(4*RADIANS(I219))-1.25*K219*K219*SIN(2*RADIANS(J219)))</f>
        <v>14.0655983121898</v>
      </c>
      <c r="W219" s="0" t="n">
        <f aca="false">DEGREES(ACOS(COS(RADIANS(90.833))/(COS(RADIANS($B$3))*COS(RADIANS(T219)))-TAN(RADIANS($B$3))*TAN(RADIANS(T219))))</f>
        <v>43.2855834253823</v>
      </c>
      <c r="X219" s="7" t="n">
        <f aca="false">(720-4*$B$4-V219+$B$5*60)/1440</f>
        <v>0.499968334505424</v>
      </c>
      <c r="Y219" s="7" t="n">
        <f aca="false">X219-W219*4/1440</f>
        <v>0.379730602768251</v>
      </c>
      <c r="Z219" s="7" t="n">
        <f aca="false">X219+W219*4/1440</f>
        <v>0.620206066242597</v>
      </c>
      <c r="AA219" s="10" t="n">
        <f aca="false">8*W219</f>
        <v>346.284667403058</v>
      </c>
      <c r="AB219" s="0" t="n">
        <f aca="false">MOD(E219*1440+V219+4*$B$4-60*$B$5,1440)</f>
        <v>1308.04559831219</v>
      </c>
      <c r="AC219" s="0" t="n">
        <f aca="false">IF(AB219/4&lt;0,AB219/4+180,AB219/4-180)</f>
        <v>147.011399578047</v>
      </c>
      <c r="AD219" s="0" t="n">
        <f aca="false">DEGREES(ACOS(SIN(RADIANS($B$3))*SIN(RADIANS(T219))+COS(RADIANS($B$3))*COS(RADIANS(T219))*COS(RADIANS(AC219))))</f>
        <v>130.46273810916</v>
      </c>
      <c r="AE219" s="0" t="n">
        <f aca="false">90-AD219</f>
        <v>-40.4627381091598</v>
      </c>
      <c r="AF219" s="0" t="n">
        <f aca="false">IF(AE219&gt;85,0,IF(AE219&gt;5,58.1/TAN(RADIANS(AE219))-0.07/POWER(TAN(RADIANS(AE219)),3)+0.000086/POWER(TAN(RADIANS(AE219)),5),IF(AE219&gt;-0.575,1735+AE219*(-518.2+AE219*(103.4+AE219*(-12.79+AE219*0.711))),-20.772/TAN(RADIANS(AE219)))))/3600</f>
        <v>0.00676470548329014</v>
      </c>
      <c r="AG219" s="0" t="n">
        <f aca="false">AE219+AF219</f>
        <v>-40.4559734036765</v>
      </c>
      <c r="AH219" s="0" t="n">
        <f aca="false">IF(AC219&gt;0,MOD(DEGREES(ACOS(((SIN(RADIANS($B$3))*COS(RADIANS(AD219)))-SIN(RADIANS(T219)))/(COS(RADIANS($B$3))*SIN(RADIANS(AD219)))))+180,360),MOD(540-DEGREES(ACOS(((SIN(RADIANS($B$3))*COS(RADIANS(AD219)))-SIN(RADIANS(T219)))/(COS(RADIANS($B$3))*SIN(RADIANS(AD219))))),360))</f>
        <v>317.757227687514</v>
      </c>
    </row>
    <row r="220" customFormat="false" ht="15" hidden="false" customHeight="false" outlineLevel="0" collapsed="false">
      <c r="D220" s="6" t="n">
        <f aca="false">$B$7</f>
        <v>44886</v>
      </c>
      <c r="E220" s="7" t="n">
        <f aca="false">E219+0.1/24</f>
        <v>0.912499999999998</v>
      </c>
      <c r="F220" s="8" t="n">
        <f aca="false">D220+2415018.5+E220-$B$5/24</f>
        <v>2459905.37083333</v>
      </c>
      <c r="G220" s="9" t="n">
        <f aca="false">(F220-2451545)/36525</f>
        <v>0.228894478667586</v>
      </c>
      <c r="I220" s="0" t="n">
        <f aca="false">MOD(280.46646+G220*(36000.76983+G220*0.0003032),360)</f>
        <v>240.843917755072</v>
      </c>
      <c r="J220" s="0" t="n">
        <f aca="false">357.52911+G220*(35999.05029-0.0001537*G220)</f>
        <v>8597.51295060501</v>
      </c>
      <c r="K220" s="0" t="n">
        <f aca="false">0.016708634-G220*(0.000042037+0.0000001267*G220)</f>
        <v>0.0166990053246474</v>
      </c>
      <c r="L220" s="0" t="n">
        <f aca="false">SIN(RADIANS(J220))*(1.914602-G220*(0.004817+0.000014*G220))+SIN(RADIANS(2*J220))*(0.019993-0.000101*G220)+SIN(RADIANS(3*J220))*0.000289</f>
        <v>-1.31254455902769</v>
      </c>
      <c r="M220" s="0" t="n">
        <f aca="false">I220+L220</f>
        <v>239.531373196044</v>
      </c>
      <c r="N220" s="0" t="n">
        <f aca="false">J220+L220</f>
        <v>8596.20040604598</v>
      </c>
      <c r="O220" s="0" t="n">
        <f aca="false">(1.000001018*(1-K220*K220))/(1+K220*COS(RADIANS(N220)))</f>
        <v>0.987816248959824</v>
      </c>
      <c r="P220" s="0" t="n">
        <f aca="false">M220-0.00569-0.00478*SIN(RADIANS(125.04-1934.136*G220))</f>
        <v>239.522464533721</v>
      </c>
      <c r="Q220" s="0" t="n">
        <f aca="false">23+(26+((21.448-G220*(46.815+G220*(0.00059-G220*0.001813))))/60)/60</f>
        <v>23.4363145266144</v>
      </c>
      <c r="R220" s="0" t="n">
        <f aca="false">Q220+0.00256*COS(RADIANS(125.04-1934.136*G220))</f>
        <v>23.4382071716503</v>
      </c>
      <c r="S220" s="0" t="n">
        <f aca="false">DEGREES(ATAN2(COS(RADIANS(P220)),COS(RADIANS(R220))*SIN(RADIANS(P220))))</f>
        <v>-122.677846678376</v>
      </c>
      <c r="T220" s="0" t="n">
        <f aca="false">DEGREES(ASIN(SIN(RADIANS(R220))*SIN(RADIANS(P220))))</f>
        <v>-20.0475919211238</v>
      </c>
      <c r="U220" s="0" t="n">
        <f aca="false">TAN(RADIANS(R220/2))*TAN(RADIANS(R220/2))</f>
        <v>0.043030435927384</v>
      </c>
      <c r="V220" s="0" t="n">
        <f aca="false">4*DEGREES(U220*SIN(2*RADIANS(I220))-2*K220*SIN(RADIANS(J220))+4*K220*U220*SIN(RADIANS(J220))*COS(2*RADIANS(I220))-0.5*U220*U220*SIN(4*RADIANS(I220))-1.25*K220*K220*SIN(2*RADIANS(J220)))</f>
        <v>14.0645134704824</v>
      </c>
      <c r="W220" s="0" t="n">
        <f aca="false">DEGREES(ACOS(COS(RADIANS(90.833))/(COS(RADIANS($B$3))*COS(RADIANS(T220)))-TAN(RADIANS($B$3))*TAN(RADIANS(T220))))</f>
        <v>43.282473735088</v>
      </c>
      <c r="X220" s="7" t="n">
        <f aca="false">(720-4*$B$4-V220+$B$5*60)/1440</f>
        <v>0.499969087867721</v>
      </c>
      <c r="Y220" s="7" t="n">
        <f aca="false">X220-W220*4/1440</f>
        <v>0.379739994159143</v>
      </c>
      <c r="Z220" s="7" t="n">
        <f aca="false">X220+W220*4/1440</f>
        <v>0.620198181576298</v>
      </c>
      <c r="AA220" s="10" t="n">
        <f aca="false">8*W220</f>
        <v>346.259789880704</v>
      </c>
      <c r="AB220" s="0" t="n">
        <f aca="false">MOD(E220*1440+V220+4*$B$4-60*$B$5,1440)</f>
        <v>1314.04451347048</v>
      </c>
      <c r="AC220" s="0" t="n">
        <f aca="false">IF(AB220/4&lt;0,AB220/4+180,AB220/4-180)</f>
        <v>148.51112836762</v>
      </c>
      <c r="AD220" s="0" t="n">
        <f aca="false">DEGREES(ACOS(SIN(RADIANS($B$3))*SIN(RADIANS(T220))+COS(RADIANS($B$3))*COS(RADIANS(T220))*COS(RADIANS(AC220))))</f>
        <v>130.890744754673</v>
      </c>
      <c r="AE220" s="0" t="n">
        <f aca="false">90-AD220</f>
        <v>-40.8907447546734</v>
      </c>
      <c r="AF220" s="0" t="n">
        <f aca="false">IF(AE220&gt;85,0,IF(AE220&gt;5,58.1/TAN(RADIANS(AE220))-0.07/POWER(TAN(RADIANS(AE220)),3)+0.000086/POWER(TAN(RADIANS(AE220)),5),IF(AE220&gt;-0.575,1735+AE220*(-518.2+AE220*(103.4+AE220*(-12.79+AE220*0.711))),-20.772/TAN(RADIANS(AE220)))))/3600</f>
        <v>0.00666324481056505</v>
      </c>
      <c r="AG220" s="0" t="n">
        <f aca="false">AE220+AF220</f>
        <v>-40.8840815098629</v>
      </c>
      <c r="AH220" s="0" t="n">
        <f aca="false">IF(AC220&gt;0,MOD(DEGREES(ACOS(((SIN(RADIANS($B$3))*COS(RADIANS(AD220)))-SIN(RADIANS(T220)))/(COS(RADIANS($B$3))*SIN(RADIANS(AD220)))))+180,360),MOD(540-DEGREES(ACOS(((SIN(RADIANS($B$3))*COS(RADIANS(AD220)))-SIN(RADIANS(T220)))/(COS(RADIANS($B$3))*SIN(RADIANS(AD220))))),360))</f>
        <v>319.527143973875</v>
      </c>
    </row>
    <row r="221" customFormat="false" ht="15" hidden="false" customHeight="false" outlineLevel="0" collapsed="false">
      <c r="D221" s="6" t="n">
        <f aca="false">$B$7</f>
        <v>44886</v>
      </c>
      <c r="E221" s="7" t="n">
        <f aca="false">E220+0.1/24</f>
        <v>0.916666666666665</v>
      </c>
      <c r="F221" s="8" t="n">
        <f aca="false">D221+2415018.5+E221-$B$5/24</f>
        <v>2459905.375</v>
      </c>
      <c r="G221" s="9" t="n">
        <f aca="false">(F221-2451545)/36525</f>
        <v>0.228894592744695</v>
      </c>
      <c r="I221" s="0" t="n">
        <f aca="false">MOD(280.46646+G221*(36000.76983+G221*0.0003032),360)</f>
        <v>240.848024618845</v>
      </c>
      <c r="J221" s="0" t="n">
        <f aca="false">357.52911+G221*(35999.05029-0.0001537*G221)</f>
        <v>8597.5170572726</v>
      </c>
      <c r="K221" s="0" t="n">
        <f aca="false">0.016708634-G221*(0.000042037+0.0000001267*G221)</f>
        <v>0.0166990053198453</v>
      </c>
      <c r="L221" s="0" t="n">
        <f aca="false">SIN(RADIANS(J221))*(1.914602-G221*(0.004817+0.000014*G221))+SIN(RADIANS(2*J221))*(0.019993-0.000101*G221)+SIN(RADIANS(3*J221))*0.000289</f>
        <v>-1.31244320376521</v>
      </c>
      <c r="M221" s="0" t="n">
        <f aca="false">I221+L221</f>
        <v>239.535581415079</v>
      </c>
      <c r="N221" s="0" t="n">
        <f aca="false">J221+L221</f>
        <v>8596.20461406883</v>
      </c>
      <c r="O221" s="0" t="n">
        <f aca="false">(1.000001018*(1-K221*K221))/(1+K221*COS(RADIANS(N221)))</f>
        <v>0.987815420458988</v>
      </c>
      <c r="P221" s="0" t="n">
        <f aca="false">M221-0.00569-0.00478*SIN(RADIANS(125.04-1934.136*G221))</f>
        <v>239.526672766366</v>
      </c>
      <c r="Q221" s="0" t="n">
        <f aca="false">23+(26+((21.448-G221*(46.815+G221*(0.00059-G221*0.001813))))/60)/60</f>
        <v>23.4363145251309</v>
      </c>
      <c r="R221" s="0" t="n">
        <f aca="false">Q221+0.00256*COS(RADIANS(125.04-1934.136*G221))</f>
        <v>23.438207176805</v>
      </c>
      <c r="S221" s="0" t="n">
        <f aca="false">DEGREES(ATAN2(COS(RADIANS(P221)),COS(RADIANS(R221))*SIN(RADIANS(P221))))</f>
        <v>-122.673471511846</v>
      </c>
      <c r="T221" s="0" t="n">
        <f aca="false">DEGREES(ASIN(SIN(RADIANS(R221))*SIN(RADIANS(P221))))</f>
        <v>-20.0484956167568</v>
      </c>
      <c r="U221" s="0" t="n">
        <f aca="false">TAN(RADIANS(R221/2))*TAN(RADIANS(R221/2))</f>
        <v>0.0430304359468495</v>
      </c>
      <c r="V221" s="0" t="n">
        <f aca="false">4*DEGREES(U221*SIN(2*RADIANS(I221))-2*K221*SIN(RADIANS(J221))+4*K221*U221*SIN(RADIANS(J221))*COS(2*RADIANS(I221))-0.5*U221*U221*SIN(4*RADIANS(I221))-1.25*K221*K221*SIN(2*RADIANS(J221)))</f>
        <v>14.0634283981524</v>
      </c>
      <c r="W221" s="0" t="n">
        <f aca="false">DEGREES(ACOS(COS(RADIANS(90.833))/(COS(RADIANS($B$3))*COS(RADIANS(T221)))-TAN(RADIANS($B$3))*TAN(RADIANS(T221))))</f>
        <v>43.2793641958529</v>
      </c>
      <c r="X221" s="7" t="n">
        <f aca="false">(720-4*$B$4-V221+$B$5*60)/1440</f>
        <v>0.499969841390172</v>
      </c>
      <c r="Y221" s="7" t="n">
        <f aca="false">X221-W221*4/1440</f>
        <v>0.379749385290581</v>
      </c>
      <c r="Z221" s="7" t="n">
        <f aca="false">X221+W221*4/1440</f>
        <v>0.620190297489763</v>
      </c>
      <c r="AA221" s="10" t="n">
        <f aca="false">8*W221</f>
        <v>346.234913566823</v>
      </c>
      <c r="AB221" s="0" t="n">
        <f aca="false">MOD(E221*1440+V221+4*$B$4-60*$B$5,1440)</f>
        <v>1320.04342839815</v>
      </c>
      <c r="AC221" s="0" t="n">
        <f aca="false">IF(AB221/4&lt;0,AB221/4+180,AB221/4-180)</f>
        <v>150.010857099537</v>
      </c>
      <c r="AD221" s="0" t="n">
        <f aca="false">DEGREES(ACOS(SIN(RADIANS($B$3))*SIN(RADIANS(T221))+COS(RADIANS($B$3))*COS(RADIANS(T221))*COS(RADIANS(AC221))))</f>
        <v>131.303487884529</v>
      </c>
      <c r="AE221" s="0" t="n">
        <f aca="false">90-AD221</f>
        <v>-41.3034878845287</v>
      </c>
      <c r="AF221" s="0" t="n">
        <f aca="false">IF(AE221&gt;85,0,IF(AE221&gt;5,58.1/TAN(RADIANS(AE221))-0.07/POWER(TAN(RADIANS(AE221)),3)+0.000086/POWER(TAN(RADIANS(AE221)),5),IF(AE221&gt;-0.575,1735+AE221*(-518.2+AE221*(103.4+AE221*(-12.79+AE221*0.711))),-20.772/TAN(RADIANS(AE221)))))/3600</f>
        <v>0.0065670468776938</v>
      </c>
      <c r="AG221" s="0" t="n">
        <f aca="false">AE221+AF221</f>
        <v>-41.296920837651</v>
      </c>
      <c r="AH221" s="0" t="n">
        <f aca="false">IF(AC221&gt;0,MOD(DEGREES(ACOS(((SIN(RADIANS($B$3))*COS(RADIANS(AD221)))-SIN(RADIANS(T221)))/(COS(RADIANS($B$3))*SIN(RADIANS(AD221)))))+180,360),MOD(540-DEGREES(ACOS(((SIN(RADIANS($B$3))*COS(RADIANS(AD221)))-SIN(RADIANS(T221)))/(COS(RADIANS($B$3))*SIN(RADIANS(AD221))))),360))</f>
        <v>321.314660838467</v>
      </c>
    </row>
    <row r="222" customFormat="false" ht="15" hidden="false" customHeight="false" outlineLevel="0" collapsed="false">
      <c r="D222" s="6" t="n">
        <f aca="false">$B$7</f>
        <v>44886</v>
      </c>
      <c r="E222" s="7" t="n">
        <f aca="false">E221+0.1/24</f>
        <v>0.920833333333331</v>
      </c>
      <c r="F222" s="8" t="n">
        <f aca="false">D222+2415018.5+E222-$B$5/24</f>
        <v>2459905.37916667</v>
      </c>
      <c r="G222" s="9" t="n">
        <f aca="false">(F222-2451545)/36525</f>
        <v>0.228894706821818</v>
      </c>
      <c r="I222" s="0" t="n">
        <f aca="false">MOD(280.46646+G222*(36000.76983+G222*0.0003032),360)</f>
        <v>240.852131483076</v>
      </c>
      <c r="J222" s="0" t="n">
        <f aca="false">357.52911+G222*(35999.05029-0.0001537*G222)</f>
        <v>8597.52116394064</v>
      </c>
      <c r="K222" s="0" t="n">
        <f aca="false">0.016708634-G222*(0.000042037+0.0000001267*G222)</f>
        <v>0.0166990053150432</v>
      </c>
      <c r="L222" s="0" t="n">
        <f aca="false">SIN(RADIANS(J222))*(1.914602-G222*(0.004817+0.000014*G222))+SIN(RADIANS(2*J222))*(0.019993-0.000101*G222)+SIN(RADIANS(3*J222))*0.000289</f>
        <v>-1.31234184143308</v>
      </c>
      <c r="M222" s="0" t="n">
        <f aca="false">I222+L222</f>
        <v>239.539789641643</v>
      </c>
      <c r="N222" s="0" t="n">
        <f aca="false">J222+L222</f>
        <v>8596.20882209921</v>
      </c>
      <c r="O222" s="0" t="n">
        <f aca="false">(1.000001018*(1-K222*K222))/(1+K222*COS(RADIANS(N222)))</f>
        <v>0.98781459202152</v>
      </c>
      <c r="P222" s="0" t="n">
        <f aca="false">M222-0.00569-0.00478*SIN(RADIANS(125.04-1934.136*G222))</f>
        <v>239.530881006538</v>
      </c>
      <c r="Q222" s="0" t="n">
        <f aca="false">23+(26+((21.448-G222*(46.815+G222*(0.00059-G222*0.001813))))/60)/60</f>
        <v>23.4363145236474</v>
      </c>
      <c r="R222" s="0" t="n">
        <f aca="false">Q222+0.00256*COS(RADIANS(125.04-1934.136*G222))</f>
        <v>23.4382071819597</v>
      </c>
      <c r="S222" s="0" t="n">
        <f aca="false">DEGREES(ATAN2(COS(RADIANS(P222)),COS(RADIANS(R222))*SIN(RADIANS(P222))))</f>
        <v>-122.669096287127</v>
      </c>
      <c r="T222" s="0" t="n">
        <f aca="false">DEGREES(ASIN(SIN(RADIANS(R222))*SIN(RADIANS(P222))))</f>
        <v>-20.0493992064136</v>
      </c>
      <c r="U222" s="0" t="n">
        <f aca="false">TAN(RADIANS(R222/2))*TAN(RADIANS(R222/2))</f>
        <v>0.0430304359663149</v>
      </c>
      <c r="V222" s="0" t="n">
        <f aca="false">4*DEGREES(U222*SIN(2*RADIANS(I222))-2*K222*SIN(RADIANS(J222))+4*K222*U222*SIN(RADIANS(J222))*COS(2*RADIANS(I222))-0.5*U222*U222*SIN(4*RADIANS(I222))-1.25*K222*K222*SIN(2*RADIANS(J222)))</f>
        <v>14.0623430949719</v>
      </c>
      <c r="W222" s="0" t="n">
        <f aca="false">DEGREES(ACOS(COS(RADIANS(90.833))/(COS(RADIANS($B$3))*COS(RADIANS(T222)))-TAN(RADIANS($B$3))*TAN(RADIANS(T222))))</f>
        <v>43.2762548070346</v>
      </c>
      <c r="X222" s="7" t="n">
        <f aca="false">(720-4*$B$4-V222+$B$5*60)/1440</f>
        <v>0.499970595072936</v>
      </c>
      <c r="Y222" s="7" t="n">
        <f aca="false">X222-W222*4/1440</f>
        <v>0.379758776164507</v>
      </c>
      <c r="Z222" s="7" t="n">
        <f aca="false">X222+W222*4/1440</f>
        <v>0.620182413981366</v>
      </c>
      <c r="AA222" s="10" t="n">
        <f aca="false">8*W222</f>
        <v>346.210038456277</v>
      </c>
      <c r="AB222" s="0" t="n">
        <f aca="false">MOD(E222*1440+V222+4*$B$4-60*$B$5,1440)</f>
        <v>1326.04234309497</v>
      </c>
      <c r="AC222" s="0" t="n">
        <f aca="false">IF(AB222/4&lt;0,AB222/4+180,AB222/4-180)</f>
        <v>151.510585773742</v>
      </c>
      <c r="AD222" s="0" t="n">
        <f aca="false">DEGREES(ACOS(SIN(RADIANS($B$3))*SIN(RADIANS(T222))+COS(RADIANS($B$3))*COS(RADIANS(T222))*COS(RADIANS(AC222))))</f>
        <v>131.700414261718</v>
      </c>
      <c r="AE222" s="0" t="n">
        <f aca="false">90-AD222</f>
        <v>-41.7004142617182</v>
      </c>
      <c r="AF222" s="0" t="n">
        <f aca="false">IF(AE222&gt;85,0,IF(AE222&gt;5,58.1/TAN(RADIANS(AE222))-0.07/POWER(TAN(RADIANS(AE222)),3)+0.000086/POWER(TAN(RADIANS(AE222)),5),IF(AE222&gt;-0.575,1735+AE222*(-518.2+AE222*(103.4+AE222*(-12.79+AE222*0.711))),-20.772/TAN(RADIANS(AE222)))))/3600</f>
        <v>0.00647601175952425</v>
      </c>
      <c r="AG222" s="0" t="n">
        <f aca="false">AE222+AF222</f>
        <v>-41.6939382499587</v>
      </c>
      <c r="AH222" s="0" t="n">
        <f aca="false">IF(AC222&gt;0,MOD(DEGREES(ACOS(((SIN(RADIANS($B$3))*COS(RADIANS(AD222)))-SIN(RADIANS(T222)))/(COS(RADIANS($B$3))*SIN(RADIANS(AD222)))))+180,360),MOD(540-DEGREES(ACOS(((SIN(RADIANS($B$3))*COS(RADIANS(AD222)))-SIN(RADIANS(T222)))/(COS(RADIANS($B$3))*SIN(RADIANS(AD222))))),360))</f>
        <v>323.119633018682</v>
      </c>
    </row>
    <row r="223" customFormat="false" ht="15" hidden="false" customHeight="false" outlineLevel="0" collapsed="false">
      <c r="D223" s="6" t="n">
        <f aca="false">$B$7</f>
        <v>44886</v>
      </c>
      <c r="E223" s="7" t="n">
        <f aca="false">E222+0.1/24</f>
        <v>0.924999999999998</v>
      </c>
      <c r="F223" s="8" t="n">
        <f aca="false">D223+2415018.5+E223-$B$5/24</f>
        <v>2459905.38333333</v>
      </c>
      <c r="G223" s="9" t="n">
        <f aca="false">(F223-2451545)/36525</f>
        <v>0.228894820898927</v>
      </c>
      <c r="I223" s="0" t="n">
        <f aca="false">MOD(280.46646+G223*(36000.76983+G223*0.0003032),360)</f>
        <v>240.856238346845</v>
      </c>
      <c r="J223" s="0" t="n">
        <f aca="false">357.52911+G223*(35999.05029-0.0001537*G223)</f>
        <v>8597.52527060823</v>
      </c>
      <c r="K223" s="0" t="n">
        <f aca="false">0.016708634-G223*(0.000042037+0.0000001267*G223)</f>
        <v>0.0166990053102412</v>
      </c>
      <c r="L223" s="0" t="n">
        <f aca="false">SIN(RADIANS(J223))*(1.914602-G223*(0.004817+0.000014*G223))+SIN(RADIANS(2*J223))*(0.019993-0.000101*G223)+SIN(RADIANS(3*J223))*0.000289</f>
        <v>-1.31224047205437</v>
      </c>
      <c r="M223" s="0" t="n">
        <f aca="false">I223+L223</f>
        <v>239.543997874791</v>
      </c>
      <c r="N223" s="0" t="n">
        <f aca="false">J223+L223</f>
        <v>8596.21303013618</v>
      </c>
      <c r="O223" s="0" t="n">
        <f aca="false">(1.000001018*(1-K223*K223))/(1+K223*COS(RADIANS(N223)))</f>
        <v>0.98781376364761</v>
      </c>
      <c r="P223" s="0" t="n">
        <f aca="false">M223-0.00569-0.00478*SIN(RADIANS(125.04-1934.136*G223))</f>
        <v>239.535089253295</v>
      </c>
      <c r="Q223" s="0" t="n">
        <f aca="false">23+(26+((21.448-G223*(46.815+G223*(0.00059-G223*0.001813))))/60)/60</f>
        <v>23.4363145221639</v>
      </c>
      <c r="R223" s="0" t="n">
        <f aca="false">Q223+0.00256*COS(RADIANS(125.04-1934.136*G223))</f>
        <v>23.4382071871144</v>
      </c>
      <c r="S223" s="0" t="n">
        <f aca="false">DEGREES(ATAN2(COS(RADIANS(P223)),COS(RADIANS(R223))*SIN(RADIANS(P223))))</f>
        <v>-122.664721005202</v>
      </c>
      <c r="T223" s="0" t="n">
        <f aca="false">DEGREES(ASIN(SIN(RADIANS(R223))*SIN(RADIANS(P223))))</f>
        <v>-20.0503026898845</v>
      </c>
      <c r="U223" s="0" t="n">
        <f aca="false">TAN(RADIANS(R223/2))*TAN(RADIANS(R223/2))</f>
        <v>0.0430304359857803</v>
      </c>
      <c r="V223" s="0" t="n">
        <f aca="false">4*DEGREES(U223*SIN(2*RADIANS(I223))-2*K223*SIN(RADIANS(J223))+4*K223*U223*SIN(RADIANS(J223))*COS(2*RADIANS(I223))-0.5*U223*U223*SIN(4*RADIANS(I223))-1.25*K223*K223*SIN(2*RADIANS(J223)))</f>
        <v>14.061257561198</v>
      </c>
      <c r="W223" s="0" t="n">
        <f aca="false">DEGREES(ACOS(COS(RADIANS(90.833))/(COS(RADIANS($B$3))*COS(RADIANS(T223)))-TAN(RADIANS($B$3))*TAN(RADIANS(T223))))</f>
        <v>43.2731455693816</v>
      </c>
      <c r="X223" s="7" t="n">
        <f aca="false">(720-4*$B$4-V223+$B$5*60)/1440</f>
        <v>0.499971348915835</v>
      </c>
      <c r="Y223" s="7" t="n">
        <f aca="false">X223-W223*4/1440</f>
        <v>0.379768166778664</v>
      </c>
      <c r="Z223" s="7" t="n">
        <f aca="false">X223+W223*4/1440</f>
        <v>0.620174531053006</v>
      </c>
      <c r="AA223" s="10" t="n">
        <f aca="false">8*W223</f>
        <v>346.185164555053</v>
      </c>
      <c r="AB223" s="0" t="n">
        <f aca="false">MOD(E223*1440+V223+4*$B$4-60*$B$5,1440)</f>
        <v>1332.0412575612</v>
      </c>
      <c r="AC223" s="0" t="n">
        <f aca="false">IF(AB223/4&lt;0,AB223/4+180,AB223/4-180)</f>
        <v>153.010314390299</v>
      </c>
      <c r="AD223" s="0" t="n">
        <f aca="false">DEGREES(ACOS(SIN(RADIANS($B$3))*SIN(RADIANS(T223))+COS(RADIANS($B$3))*COS(RADIANS(T223))*COS(RADIANS(AC223))))</f>
        <v>132.080976193827</v>
      </c>
      <c r="AE223" s="0" t="n">
        <f aca="false">90-AD223</f>
        <v>-42.0809761938267</v>
      </c>
      <c r="AF223" s="0" t="n">
        <f aca="false">IF(AE223&gt;85,0,IF(AE223&gt;5,58.1/TAN(RADIANS(AE223))-0.07/POWER(TAN(RADIANS(AE223)),3)+0.000086/POWER(TAN(RADIANS(AE223)),5),IF(AE223&gt;-0.575,1735+AE223*(-518.2+AE223*(103.4+AE223*(-12.79+AE223*0.711))),-20.772/TAN(RADIANS(AE223)))))/3600</f>
        <v>0.00639004943726068</v>
      </c>
      <c r="AG223" s="0" t="n">
        <f aca="false">AE223+AF223</f>
        <v>-42.0745861443894</v>
      </c>
      <c r="AH223" s="0" t="n">
        <f aca="false">IF(AC223&gt;0,MOD(DEGREES(ACOS(((SIN(RADIANS($B$3))*COS(RADIANS(AD223)))-SIN(RADIANS(T223)))/(COS(RADIANS($B$3))*SIN(RADIANS(AD223)))))+180,360),MOD(540-DEGREES(ACOS(((SIN(RADIANS($B$3))*COS(RADIANS(AD223)))-SIN(RADIANS(T223)))/(COS(RADIANS($B$3))*SIN(RADIANS(AD223))))),360))</f>
        <v>324.94184816945</v>
      </c>
    </row>
    <row r="224" customFormat="false" ht="15" hidden="false" customHeight="false" outlineLevel="0" collapsed="false">
      <c r="D224" s="6" t="n">
        <f aca="false">$B$7</f>
        <v>44886</v>
      </c>
      <c r="E224" s="7" t="n">
        <f aca="false">E223+0.1/24</f>
        <v>0.929166666666665</v>
      </c>
      <c r="F224" s="8" t="n">
        <f aca="false">D224+2415018.5+E224-$B$5/24</f>
        <v>2459905.3875</v>
      </c>
      <c r="G224" s="9" t="n">
        <f aca="false">(F224-2451545)/36525</f>
        <v>0.228894934976049</v>
      </c>
      <c r="I224" s="0" t="n">
        <f aca="false">MOD(280.46646+G224*(36000.76983+G224*0.0003032),360)</f>
        <v>240.860345211077</v>
      </c>
      <c r="J224" s="0" t="n">
        <f aca="false">357.52911+G224*(35999.05029-0.0001537*G224)</f>
        <v>8597.52937727628</v>
      </c>
      <c r="K224" s="0" t="n">
        <f aca="false">0.016708634-G224*(0.000042037+0.0000001267*G224)</f>
        <v>0.0166990053054391</v>
      </c>
      <c r="L224" s="0" t="n">
        <f aca="false">SIN(RADIANS(J224))*(1.914602-G224*(0.004817+0.000014*G224))+SIN(RADIANS(2*J224))*(0.019993-0.000101*G224)+SIN(RADIANS(3*J224))*0.000289</f>
        <v>-1.31213909560714</v>
      </c>
      <c r="M224" s="0" t="n">
        <f aca="false">I224+L224</f>
        <v>239.548206115469</v>
      </c>
      <c r="N224" s="0" t="n">
        <f aca="false">J224+L224</f>
        <v>8596.21723818067</v>
      </c>
      <c r="O224" s="0" t="n">
        <f aca="false">(1.000001018*(1-K224*K224))/(1+K224*COS(RADIANS(N224)))</f>
        <v>0.987812935337078</v>
      </c>
      <c r="P224" s="0" t="n">
        <f aca="false">M224-0.00569-0.00478*SIN(RADIANS(125.04-1934.136*G224))</f>
        <v>239.539297507582</v>
      </c>
      <c r="Q224" s="0" t="n">
        <f aca="false">23+(26+((21.448-G224*(46.815+G224*(0.00059-G224*0.001813))))/60)/60</f>
        <v>23.4363145206805</v>
      </c>
      <c r="R224" s="0" t="n">
        <f aca="false">Q224+0.00256*COS(RADIANS(125.04-1934.136*G224))</f>
        <v>23.438207192269</v>
      </c>
      <c r="S224" s="0" t="n">
        <f aca="false">DEGREES(ATAN2(COS(RADIANS(P224)),COS(RADIANS(R224))*SIN(RADIANS(P224))))</f>
        <v>-122.66034566509</v>
      </c>
      <c r="T224" s="0" t="n">
        <f aca="false">DEGREES(ASIN(SIN(RADIANS(R224))*SIN(RADIANS(P224))))</f>
        <v>-20.0512060673656</v>
      </c>
      <c r="U224" s="0" t="n">
        <f aca="false">TAN(RADIANS(R224/2))*TAN(RADIANS(R224/2))</f>
        <v>0.0430304360052455</v>
      </c>
      <c r="V224" s="0" t="n">
        <f aca="false">4*DEGREES(U224*SIN(2*RADIANS(I224))-2*K224*SIN(RADIANS(J224))+4*K224*U224*SIN(RADIANS(J224))*COS(2*RADIANS(I224))-0.5*U224*U224*SIN(4*RADIANS(I224))-1.25*K224*K224*SIN(2*RADIANS(J224)))</f>
        <v>14.060171796602</v>
      </c>
      <c r="W224" s="0" t="n">
        <f aca="false">DEGREES(ACOS(COS(RADIANS(90.833))/(COS(RADIANS($B$3))*COS(RADIANS(T224)))-TAN(RADIANS($B$3))*TAN(RADIANS(T224))))</f>
        <v>43.2700364822462</v>
      </c>
      <c r="X224" s="7" t="n">
        <f aca="false">(720-4*$B$4-V224+$B$5*60)/1440</f>
        <v>0.499972102919026</v>
      </c>
      <c r="Y224" s="7" t="n">
        <f aca="false">X224-W224*4/1440</f>
        <v>0.379777557135009</v>
      </c>
      <c r="Z224" s="7" t="n">
        <f aca="false">X224+W224*4/1440</f>
        <v>0.620166648703044</v>
      </c>
      <c r="AA224" s="10" t="n">
        <f aca="false">8*W224</f>
        <v>346.16029185797</v>
      </c>
      <c r="AB224" s="0" t="n">
        <f aca="false">MOD(E224*1440+V224+4*$B$4-60*$B$5,1440)</f>
        <v>1338.0401717966</v>
      </c>
      <c r="AC224" s="0" t="n">
        <f aca="false">IF(AB224/4&lt;0,AB224/4+180,AB224/4-180)</f>
        <v>154.51004294915</v>
      </c>
      <c r="AD224" s="0" t="n">
        <f aca="false">DEGREES(ACOS(SIN(RADIANS($B$3))*SIN(RADIANS(T224))+COS(RADIANS($B$3))*COS(RADIANS(T224))*COS(RADIANS(AC224))))</f>
        <v>132.444633531687</v>
      </c>
      <c r="AE224" s="0" t="n">
        <f aca="false">90-AD224</f>
        <v>-42.4446335316867</v>
      </c>
      <c r="AF224" s="0" t="n">
        <f aca="false">IF(AE224&gt;85,0,IF(AE224&gt;5,58.1/TAN(RADIANS(AE224))-0.07/POWER(TAN(RADIANS(AE224)),3)+0.000086/POWER(TAN(RADIANS(AE224)),5),IF(AE224&gt;-0.575,1735+AE224*(-518.2+AE224*(103.4+AE224*(-12.79+AE224*0.711))),-20.772/TAN(RADIANS(AE224)))))/3600</f>
        <v>0.00630907907179724</v>
      </c>
      <c r="AG224" s="0" t="n">
        <f aca="false">AE224+AF224</f>
        <v>-42.4383244526149</v>
      </c>
      <c r="AH224" s="0" t="n">
        <f aca="false">IF(AC224&gt;0,MOD(DEGREES(ACOS(((SIN(RADIANS($B$3))*COS(RADIANS(AD224)))-SIN(RADIANS(T224)))/(COS(RADIANS($B$3))*SIN(RADIANS(AD224)))))+180,360),MOD(540-DEGREES(ACOS(((SIN(RADIANS($B$3))*COS(RADIANS(AD224)))-SIN(RADIANS(T224)))/(COS(RADIANS($B$3))*SIN(RADIANS(AD224))))),360))</f>
        <v>326.781023814782</v>
      </c>
    </row>
    <row r="225" customFormat="false" ht="15" hidden="false" customHeight="false" outlineLevel="0" collapsed="false">
      <c r="D225" s="6" t="n">
        <f aca="false">$B$7</f>
        <v>44886</v>
      </c>
      <c r="E225" s="7" t="n">
        <f aca="false">E224+0.1/24</f>
        <v>0.933333333333331</v>
      </c>
      <c r="F225" s="8" t="n">
        <f aca="false">D225+2415018.5+E225-$B$5/24</f>
        <v>2459905.39166667</v>
      </c>
      <c r="G225" s="9" t="n">
        <f aca="false">(F225-2451545)/36525</f>
        <v>0.228895049053158</v>
      </c>
      <c r="I225" s="0" t="n">
        <f aca="false">MOD(280.46646+G225*(36000.76983+G225*0.0003032),360)</f>
        <v>240.864452074849</v>
      </c>
      <c r="J225" s="0" t="n">
        <f aca="false">357.52911+G225*(35999.05029-0.0001537*G225)</f>
        <v>8597.53348394386</v>
      </c>
      <c r="K225" s="0" t="n">
        <f aca="false">0.016708634-G225*(0.000042037+0.0000001267*G225)</f>
        <v>0.016699005300637</v>
      </c>
      <c r="L225" s="0" t="n">
        <f aca="false">SIN(RADIANS(J225))*(1.914602-G225*(0.004817+0.000014*G225))+SIN(RADIANS(2*J225))*(0.019993-0.000101*G225)+SIN(RADIANS(3*J225))*0.000289</f>
        <v>-1.31203771211438</v>
      </c>
      <c r="M225" s="0" t="n">
        <f aca="false">I225+L225</f>
        <v>239.552414362735</v>
      </c>
      <c r="N225" s="0" t="n">
        <f aca="false">J225+L225</f>
        <v>8596.22144623175</v>
      </c>
      <c r="O225" s="0" t="n">
        <f aca="false">(1.000001018*(1-K225*K225))/(1+K225*COS(RADIANS(N225)))</f>
        <v>0.987812107090112</v>
      </c>
      <c r="P225" s="0" t="n">
        <f aca="false">M225-0.00569-0.00478*SIN(RADIANS(125.04-1934.136*G225))</f>
        <v>239.543505768457</v>
      </c>
      <c r="Q225" s="0" t="n">
        <f aca="false">23+(26+((21.448-G225*(46.815+G225*(0.00059-G225*0.001813))))/60)/60</f>
        <v>23.436314519197</v>
      </c>
      <c r="R225" s="0" t="n">
        <f aca="false">Q225+0.00256*COS(RADIANS(125.04-1934.136*G225))</f>
        <v>23.4382071974236</v>
      </c>
      <c r="S225" s="0" t="n">
        <f aca="false">DEGREES(ATAN2(COS(RADIANS(P225)),COS(RADIANS(R225))*SIN(RADIANS(P225))))</f>
        <v>-122.655970267775</v>
      </c>
      <c r="T225" s="0" t="n">
        <f aca="false">DEGREES(ASIN(SIN(RADIANS(R225))*SIN(RADIANS(P225))))</f>
        <v>-20.0521093386473</v>
      </c>
      <c r="U225" s="0" t="n">
        <f aca="false">TAN(RADIANS(R225/2))*TAN(RADIANS(R225/2))</f>
        <v>0.0430304360247106</v>
      </c>
      <c r="V225" s="0" t="n">
        <f aca="false">4*DEGREES(U225*SIN(2*RADIANS(I225))-2*K225*SIN(RADIANS(J225))+4*K225*U225*SIN(RADIANS(J225))*COS(2*RADIANS(I225))-0.5*U225*U225*SIN(4*RADIANS(I225))-1.25*K225*K225*SIN(2*RADIANS(J225)))</f>
        <v>14.0590858014409</v>
      </c>
      <c r="W225" s="0" t="n">
        <f aca="false">DEGREES(ACOS(COS(RADIANS(90.833))/(COS(RADIANS($B$3))*COS(RADIANS(T225)))-TAN(RADIANS($B$3))*TAN(RADIANS(T225))))</f>
        <v>43.266927546377</v>
      </c>
      <c r="X225" s="7" t="n">
        <f aca="false">(720-4*$B$4-V225+$B$5*60)/1440</f>
        <v>0.499972857082333</v>
      </c>
      <c r="Y225" s="7" t="n">
        <f aca="false">X225-W225*4/1440</f>
        <v>0.379786947231285</v>
      </c>
      <c r="Z225" s="7" t="n">
        <f aca="false">X225+W225*4/1440</f>
        <v>0.62015876693338</v>
      </c>
      <c r="AA225" s="10" t="n">
        <f aca="false">8*W225</f>
        <v>346.135420371016</v>
      </c>
      <c r="AB225" s="0" t="n">
        <f aca="false">MOD(E225*1440+V225+4*$B$4-60*$B$5,1440)</f>
        <v>1344.03908580144</v>
      </c>
      <c r="AC225" s="0" t="n">
        <f aca="false">IF(AB225/4&lt;0,AB225/4+180,AB225/4-180)</f>
        <v>156.00977145036</v>
      </c>
      <c r="AD225" s="0" t="n">
        <f aca="false">DEGREES(ACOS(SIN(RADIANS($B$3))*SIN(RADIANS(T225))+COS(RADIANS($B$3))*COS(RADIANS(T225))*COS(RADIANS(AC225))))</f>
        <v>132.790855792723</v>
      </c>
      <c r="AE225" s="0" t="n">
        <f aca="false">90-AD225</f>
        <v>-42.7908557927231</v>
      </c>
      <c r="AF225" s="0" t="n">
        <f aca="false">IF(AE225&gt;85,0,IF(AE225&gt;5,58.1/TAN(RADIANS(AE225))-0.07/POWER(TAN(RADIANS(AE225)),3)+0.000086/POWER(TAN(RADIANS(AE225)),5),IF(AE225&gt;-0.575,1735+AE225*(-518.2+AE225*(103.4+AE225*(-12.79+AE225*0.711))),-20.772/TAN(RADIANS(AE225)))))/3600</f>
        <v>0.0062330283164597</v>
      </c>
      <c r="AG225" s="0" t="n">
        <f aca="false">AE225+AF225</f>
        <v>-42.7846227644066</v>
      </c>
      <c r="AH225" s="0" t="n">
        <f aca="false">IF(AC225&gt;0,MOD(DEGREES(ACOS(((SIN(RADIANS($B$3))*COS(RADIANS(AD225)))-SIN(RADIANS(T225)))/(COS(RADIANS($B$3))*SIN(RADIANS(AD225)))))+180,360),MOD(540-DEGREES(ACOS(((SIN(RADIANS($B$3))*COS(RADIANS(AD225)))-SIN(RADIANS(T225)))/(COS(RADIANS($B$3))*SIN(RADIANS(AD225))))),360))</f>
        <v>328.636804682264</v>
      </c>
    </row>
    <row r="226" customFormat="false" ht="15" hidden="false" customHeight="false" outlineLevel="0" collapsed="false">
      <c r="D226" s="6" t="n">
        <f aca="false">$B$7</f>
        <v>44886</v>
      </c>
      <c r="E226" s="7" t="n">
        <f aca="false">E225+0.1/24</f>
        <v>0.937499999999998</v>
      </c>
      <c r="F226" s="8" t="n">
        <f aca="false">D226+2415018.5+E226-$B$5/24</f>
        <v>2459905.39583333</v>
      </c>
      <c r="G226" s="9" t="n">
        <f aca="false">(F226-2451545)/36525</f>
        <v>0.22889516313028</v>
      </c>
      <c r="I226" s="0" t="n">
        <f aca="false">MOD(280.46646+G226*(36000.76983+G226*0.0003032),360)</f>
        <v>240.868558939081</v>
      </c>
      <c r="J226" s="0" t="n">
        <f aca="false">357.52911+G226*(35999.05029-0.0001537*G226)</f>
        <v>8597.53759061191</v>
      </c>
      <c r="K226" s="0" t="n">
        <f aca="false">0.016708634-G226*(0.000042037+0.0000001267*G226)</f>
        <v>0.0166990052958349</v>
      </c>
      <c r="L226" s="0" t="n">
        <f aca="false">SIN(RADIANS(J226))*(1.914602-G226*(0.004817+0.000014*G226))+SIN(RADIANS(2*J226))*(0.019993-0.000101*G226)+SIN(RADIANS(3*J226))*0.000289</f>
        <v>-1.31193632155397</v>
      </c>
      <c r="M226" s="0" t="n">
        <f aca="false">I226+L226</f>
        <v>239.556622617527</v>
      </c>
      <c r="N226" s="0" t="n">
        <f aca="false">J226+L226</f>
        <v>8596.22565429036</v>
      </c>
      <c r="O226" s="0" t="n">
        <f aca="false">(1.000001018*(1-K226*K226))/(1+K226*COS(RADIANS(N226)))</f>
        <v>0.987811278906532</v>
      </c>
      <c r="P226" s="0" t="n">
        <f aca="false">M226-0.00569-0.00478*SIN(RADIANS(125.04-1934.136*G226))</f>
        <v>239.547714036858</v>
      </c>
      <c r="Q226" s="0" t="n">
        <f aca="false">23+(26+((21.448-G226*(46.815+G226*(0.00059-G226*0.001813))))/60)/60</f>
        <v>23.4363145177135</v>
      </c>
      <c r="R226" s="0" t="n">
        <f aca="false">Q226+0.00256*COS(RADIANS(125.04-1934.136*G226))</f>
        <v>23.4382072025782</v>
      </c>
      <c r="S226" s="0" t="n">
        <f aca="false">DEGREES(ATAN2(COS(RADIANS(P226)),COS(RADIANS(R226))*SIN(RADIANS(P226))))</f>
        <v>-122.651594812283</v>
      </c>
      <c r="T226" s="0" t="n">
        <f aca="false">DEGREES(ASIN(SIN(RADIANS(R226))*SIN(RADIANS(P226))))</f>
        <v>-20.0530125039241</v>
      </c>
      <c r="U226" s="0" t="n">
        <f aca="false">TAN(RADIANS(R226/2))*TAN(RADIANS(R226/2))</f>
        <v>0.0430304360441756</v>
      </c>
      <c r="V226" s="0" t="n">
        <f aca="false">4*DEGREES(U226*SIN(2*RADIANS(I226))-2*K226*SIN(RADIANS(J226))+4*K226*U226*SIN(RADIANS(J226))*COS(2*RADIANS(I226))-0.5*U226*U226*SIN(4*RADIANS(I226))-1.25*K226*K226*SIN(2*RADIANS(J226)))</f>
        <v>14.0579995754865</v>
      </c>
      <c r="W226" s="0" t="n">
        <f aca="false">DEGREES(ACOS(COS(RADIANS(90.833))/(COS(RADIANS($B$3))*COS(RADIANS(T226)))-TAN(RADIANS($B$3))*TAN(RADIANS(T226))))</f>
        <v>43.2638187611316</v>
      </c>
      <c r="X226" s="7" t="n">
        <f aca="false">(720-4*$B$4-V226+$B$5*60)/1440</f>
        <v>0.499973611405912</v>
      </c>
      <c r="Y226" s="7" t="n">
        <f aca="false">X226-W226*4/1440</f>
        <v>0.379796337069435</v>
      </c>
      <c r="Z226" s="7" t="n">
        <f aca="false">X226+W226*4/1440</f>
        <v>0.620150885742389</v>
      </c>
      <c r="AA226" s="10" t="n">
        <f aca="false">8*W226</f>
        <v>346.110550089053</v>
      </c>
      <c r="AB226" s="0" t="n">
        <f aca="false">MOD(E226*1440+V226+4*$B$4-60*$B$5,1440)</f>
        <v>1350.03799957548</v>
      </c>
      <c r="AC226" s="0" t="n">
        <f aca="false">IF(AB226/4&lt;0,AB226/4+180,AB226/4-180)</f>
        <v>157.509499893871</v>
      </c>
      <c r="AD226" s="0" t="n">
        <f aca="false">DEGREES(ACOS(SIN(RADIANS($B$3))*SIN(RADIANS(T226))+COS(RADIANS($B$3))*COS(RADIANS(T226))*COS(RADIANS(AC226))))</f>
        <v>133.119124399787</v>
      </c>
      <c r="AE226" s="0" t="n">
        <f aca="false">90-AD226</f>
        <v>-43.1191243997869</v>
      </c>
      <c r="AF226" s="0" t="n">
        <f aca="false">IF(AE226&gt;85,0,IF(AE226&gt;5,58.1/TAN(RADIANS(AE226))-0.07/POWER(TAN(RADIANS(AE226)),3)+0.000086/POWER(TAN(RADIANS(AE226)),5),IF(AE226&gt;-0.575,1735+AE226*(-518.2+AE226*(103.4+AE226*(-12.79+AE226*0.711))),-20.772/TAN(RADIANS(AE226)))))/3600</f>
        <v>0.00616183266526679</v>
      </c>
      <c r="AG226" s="0" t="n">
        <f aca="false">AE226+AF226</f>
        <v>-43.1129625671216</v>
      </c>
      <c r="AH226" s="0" t="n">
        <f aca="false">IF(AC226&gt;0,MOD(DEGREES(ACOS(((SIN(RADIANS($B$3))*COS(RADIANS(AD226)))-SIN(RADIANS(T226)))/(COS(RADIANS($B$3))*SIN(RADIANS(AD226)))))+180,360),MOD(540-DEGREES(ACOS(((SIN(RADIANS($B$3))*COS(RADIANS(AD226)))-SIN(RADIANS(T226)))/(COS(RADIANS($B$3))*SIN(RADIANS(AD226))))),360))</f>
        <v>330.508760496877</v>
      </c>
    </row>
    <row r="227" customFormat="false" ht="15" hidden="false" customHeight="false" outlineLevel="0" collapsed="false">
      <c r="D227" s="6" t="n">
        <f aca="false">$B$7</f>
        <v>44886</v>
      </c>
      <c r="E227" s="7" t="n">
        <f aca="false">E226+0.1/24</f>
        <v>0.941666666666665</v>
      </c>
      <c r="F227" s="8" t="n">
        <f aca="false">D227+2415018.5+E227-$B$5/24</f>
        <v>2459905.4</v>
      </c>
      <c r="G227" s="9" t="n">
        <f aca="false">(F227-2451545)/36525</f>
        <v>0.228895277207402</v>
      </c>
      <c r="I227" s="0" t="n">
        <f aca="false">MOD(280.46646+G227*(36000.76983+G227*0.0003032),360)</f>
        <v>240.87266580331</v>
      </c>
      <c r="J227" s="0" t="n">
        <f aca="false">357.52911+G227*(35999.05029-0.0001537*G227)</f>
        <v>8597.54169727996</v>
      </c>
      <c r="K227" s="0" t="n">
        <f aca="false">0.016708634-G227*(0.000042037+0.0000001267*G227)</f>
        <v>0.0166990052910329</v>
      </c>
      <c r="L227" s="0" t="n">
        <f aca="false">SIN(RADIANS(J227))*(1.914602-G227*(0.004817+0.000014*G227))+SIN(RADIANS(2*J227))*(0.019993-0.000101*G227)+SIN(RADIANS(3*J227))*0.000289</f>
        <v>-1.31183492393791</v>
      </c>
      <c r="M227" s="0" t="n">
        <f aca="false">I227+L227</f>
        <v>239.560830879372</v>
      </c>
      <c r="N227" s="0" t="n">
        <f aca="false">J227+L227</f>
        <v>8596.22986235602</v>
      </c>
      <c r="O227" s="0" t="n">
        <f aca="false">(1.000001018*(1-K227*K227))/(1+K227*COS(RADIANS(N227)))</f>
        <v>0.987810450786437</v>
      </c>
      <c r="P227" s="0" t="n">
        <f aca="false">M227-0.00569-0.00478*SIN(RADIANS(125.04-1934.136*G227))</f>
        <v>239.551922312312</v>
      </c>
      <c r="Q227" s="0" t="n">
        <f aca="false">23+(26+((21.448-G227*(46.815+G227*(0.00059-G227*0.001813))))/60)/60</f>
        <v>23.43631451623</v>
      </c>
      <c r="R227" s="0" t="n">
        <f aca="false">Q227+0.00256*COS(RADIANS(125.04-1934.136*G227))</f>
        <v>23.4382072077327</v>
      </c>
      <c r="S227" s="0" t="n">
        <f aca="false">DEGREES(ATAN2(COS(RADIANS(P227)),COS(RADIANS(R227))*SIN(RADIANS(P227))))</f>
        <v>-122.647219299108</v>
      </c>
      <c r="T227" s="0" t="n">
        <f aca="false">DEGREES(ASIN(SIN(RADIANS(R227))*SIN(RADIANS(P227))))</f>
        <v>-20.0539155630875</v>
      </c>
      <c r="U227" s="0" t="n">
        <f aca="false">TAN(RADIANS(R227/2))*TAN(RADIANS(R227/2))</f>
        <v>0.0430304360636405</v>
      </c>
      <c r="V227" s="0" t="n">
        <f aca="false">4*DEGREES(U227*SIN(2*RADIANS(I227))-2*K227*SIN(RADIANS(J227))+4*K227*U227*SIN(RADIANS(J227))*COS(2*RADIANS(I227))-0.5*U227*U227*SIN(4*RADIANS(I227))-1.25*K227*K227*SIN(2*RADIANS(J227)))</f>
        <v>14.0569131188754</v>
      </c>
      <c r="W227" s="0" t="n">
        <f aca="false">DEGREES(ACOS(COS(RADIANS(90.833))/(COS(RADIANS($B$3))*COS(RADIANS(T227)))-TAN(RADIANS($B$3))*TAN(RADIANS(T227))))</f>
        <v>43.2607101269104</v>
      </c>
      <c r="X227" s="7" t="n">
        <f aca="false">(720-4*$B$4-V227+$B$5*60)/1440</f>
        <v>0.49997436588967</v>
      </c>
      <c r="Y227" s="7" t="n">
        <f aca="false">X227-W227*4/1440</f>
        <v>0.379805726648252</v>
      </c>
      <c r="Z227" s="7" t="n">
        <f aca="false">X227+W227*4/1440</f>
        <v>0.620143005131088</v>
      </c>
      <c r="AA227" s="10" t="n">
        <f aca="false">8*W227</f>
        <v>346.085681015283</v>
      </c>
      <c r="AB227" s="0" t="n">
        <f aca="false">MOD(E227*1440+V227+4*$B$4-60*$B$5,1440)</f>
        <v>1356.03691311887</v>
      </c>
      <c r="AC227" s="0" t="n">
        <f aca="false">IF(AB227/4&lt;0,AB227/4+180,AB227/4-180)</f>
        <v>159.009228279718</v>
      </c>
      <c r="AD227" s="0" t="n">
        <f aca="false">DEGREES(ACOS(SIN(RADIANS($B$3))*SIN(RADIANS(T227))+COS(RADIANS($B$3))*COS(RADIANS(T227))*COS(RADIANS(AC227))))</f>
        <v>133.428935017339</v>
      </c>
      <c r="AE227" s="0" t="n">
        <f aca="false">90-AD227</f>
        <v>-43.4289350173388</v>
      </c>
      <c r="AF227" s="0" t="n">
        <f aca="false">IF(AE227&gt;85,0,IF(AE227&gt;5,58.1/TAN(RADIANS(AE227))-0.07/POWER(TAN(RADIANS(AE227)),3)+0.000086/POWER(TAN(RADIANS(AE227)),5),IF(AE227&gt;-0.575,1735+AE227*(-518.2+AE227*(103.4+AE227*(-12.79+AE227*0.711))),-20.772/TAN(RADIANS(AE227)))))/3600</f>
        <v>0.00609543483485364</v>
      </c>
      <c r="AG227" s="0" t="n">
        <f aca="false">AE227+AF227</f>
        <v>-43.4228395825039</v>
      </c>
      <c r="AH227" s="0" t="n">
        <f aca="false">IF(AC227&gt;0,MOD(DEGREES(ACOS(((SIN(RADIANS($B$3))*COS(RADIANS(AD227)))-SIN(RADIANS(T227)))/(COS(RADIANS($B$3))*SIN(RADIANS(AD227)))))+180,360),MOD(540-DEGREES(ACOS(((SIN(RADIANS($B$3))*COS(RADIANS(AD227)))-SIN(RADIANS(T227)))/(COS(RADIANS($B$3))*SIN(RADIANS(AD227))))),360))</f>
        <v>332.396384315417</v>
      </c>
    </row>
    <row r="228" customFormat="false" ht="15" hidden="false" customHeight="false" outlineLevel="0" collapsed="false">
      <c r="D228" s="6" t="n">
        <f aca="false">$B$7</f>
        <v>44886</v>
      </c>
      <c r="E228" s="7" t="n">
        <f aca="false">E227+0.1/24</f>
        <v>0.945833333333331</v>
      </c>
      <c r="F228" s="8" t="n">
        <f aca="false">D228+2415018.5+E228-$B$5/24</f>
        <v>2459905.40416667</v>
      </c>
      <c r="G228" s="9" t="n">
        <f aca="false">(F228-2451545)/36525</f>
        <v>0.228895391284512</v>
      </c>
      <c r="I228" s="0" t="n">
        <f aca="false">MOD(280.46646+G228*(36000.76983+G228*0.0003032),360)</f>
        <v>240.876772667081</v>
      </c>
      <c r="J228" s="0" t="n">
        <f aca="false">357.52911+G228*(35999.05029-0.0001537*G228)</f>
        <v>8597.54580394755</v>
      </c>
      <c r="K228" s="0" t="n">
        <f aca="false">0.016708634-G228*(0.000042037+0.0000001267*G228)</f>
        <v>0.0166990052862308</v>
      </c>
      <c r="L228" s="0" t="n">
        <f aca="false">SIN(RADIANS(J228))*(1.914602-G228*(0.004817+0.000014*G228))+SIN(RADIANS(2*J228))*(0.019993-0.000101*G228)+SIN(RADIANS(3*J228))*0.000289</f>
        <v>-1.31173351927797</v>
      </c>
      <c r="M228" s="0" t="n">
        <f aca="false">I228+L228</f>
        <v>239.565039147803</v>
      </c>
      <c r="N228" s="0" t="n">
        <f aca="false">J228+L228</f>
        <v>8596.23407042827</v>
      </c>
      <c r="O228" s="0" t="n">
        <f aca="false">(1.000001018*(1-K228*K228))/(1+K228*COS(RADIANS(N228)))</f>
        <v>0.987809622729922</v>
      </c>
      <c r="P228" s="0" t="n">
        <f aca="false">M228-0.00569-0.00478*SIN(RADIANS(125.04-1934.136*G228))</f>
        <v>239.556130594352</v>
      </c>
      <c r="Q228" s="0" t="n">
        <f aca="false">23+(26+((21.448-G228*(46.815+G228*(0.00059-G228*0.001813))))/60)/60</f>
        <v>23.4363145147465</v>
      </c>
      <c r="R228" s="0" t="n">
        <f aca="false">Q228+0.00256*COS(RADIANS(125.04-1934.136*G228))</f>
        <v>23.4382072128872</v>
      </c>
      <c r="S228" s="0" t="n">
        <f aca="false">DEGREES(ATAN2(COS(RADIANS(P228)),COS(RADIANS(R228))*SIN(RADIANS(P228))))</f>
        <v>-122.64284372874</v>
      </c>
      <c r="T228" s="0" t="n">
        <f aca="false">DEGREES(ASIN(SIN(RADIANS(R228))*SIN(RADIANS(P228))))</f>
        <v>-20.0548185160301</v>
      </c>
      <c r="U228" s="0" t="n">
        <f aca="false">TAN(RADIANS(R228/2))*TAN(RADIANS(R228/2))</f>
        <v>0.0430304360831053</v>
      </c>
      <c r="V228" s="0" t="n">
        <f aca="false">4*DEGREES(U228*SIN(2*RADIANS(I228))-2*K228*SIN(RADIANS(J228))+4*K228*U228*SIN(RADIANS(J228))*COS(2*RADIANS(I228))-0.5*U228*U228*SIN(4*RADIANS(I228))-1.25*K228*K228*SIN(2*RADIANS(J228)))</f>
        <v>14.0558264317427</v>
      </c>
      <c r="W228" s="0" t="n">
        <f aca="false">DEGREES(ACOS(COS(RADIANS(90.833))/(COS(RADIANS($B$3))*COS(RADIANS(T228)))-TAN(RADIANS($B$3))*TAN(RADIANS(T228))))</f>
        <v>43.2576016441107</v>
      </c>
      <c r="X228" s="7" t="n">
        <f aca="false">(720-4*$B$4-V228+$B$5*60)/1440</f>
        <v>0.499975120533512</v>
      </c>
      <c r="Y228" s="7" t="n">
        <f aca="false">X228-W228*4/1440</f>
        <v>0.379815115966538</v>
      </c>
      <c r="Z228" s="7" t="n">
        <f aca="false">X228+W228*4/1440</f>
        <v>0.620135125100486</v>
      </c>
      <c r="AA228" s="10" t="n">
        <f aca="false">8*W228</f>
        <v>346.060813152885</v>
      </c>
      <c r="AB228" s="0" t="n">
        <f aca="false">MOD(E228*1440+V228+4*$B$4-60*$B$5,1440)</f>
        <v>1362.03582643174</v>
      </c>
      <c r="AC228" s="0" t="n">
        <f aca="false">IF(AB228/4&lt;0,AB228/4+180,AB228/4-180)</f>
        <v>160.508956607935</v>
      </c>
      <c r="AD228" s="0" t="n">
        <f aca="false">DEGREES(ACOS(SIN(RADIANS($B$3))*SIN(RADIANS(T228))+COS(RADIANS($B$3))*COS(RADIANS(T228))*COS(RADIANS(AC228))))</f>
        <v>133.719799968579</v>
      </c>
      <c r="AE228" s="0" t="n">
        <f aca="false">90-AD228</f>
        <v>-43.7197999685789</v>
      </c>
      <c r="AF228" s="0" t="n">
        <f aca="false">IF(AE228&gt;85,0,IF(AE228&gt;5,58.1/TAN(RADIANS(AE228))-0.07/POWER(TAN(RADIANS(AE228)),3)+0.000086/POWER(TAN(RADIANS(AE228)),5),IF(AE228&gt;-0.575,1735+AE228*(-518.2+AE228*(103.4+AE228*(-12.79+AE228*0.711))),-20.772/TAN(RADIANS(AE228)))))/3600</f>
        <v>0.00603378417778651</v>
      </c>
      <c r="AG228" s="0" t="n">
        <f aca="false">AE228+AF228</f>
        <v>-43.7137661844011</v>
      </c>
      <c r="AH228" s="0" t="n">
        <f aca="false">IF(AC228&gt;0,MOD(DEGREES(ACOS(((SIN(RADIANS($B$3))*COS(RADIANS(AD228)))-SIN(RADIANS(T228)))/(COS(RADIANS($B$3))*SIN(RADIANS(AD228)))))+180,360),MOD(540-DEGREES(ACOS(((SIN(RADIANS($B$3))*COS(RADIANS(AD228)))-SIN(RADIANS(T228)))/(COS(RADIANS($B$3))*SIN(RADIANS(AD228))))),360))</f>
        <v>334.299091476873</v>
      </c>
    </row>
    <row r="229" customFormat="false" ht="15" hidden="false" customHeight="false" outlineLevel="0" collapsed="false">
      <c r="D229" s="6" t="n">
        <f aca="false">$B$7</f>
        <v>44886</v>
      </c>
      <c r="E229" s="7" t="n">
        <f aca="false">E228+0.1/24</f>
        <v>0.949999999999998</v>
      </c>
      <c r="F229" s="8" t="n">
        <f aca="false">D229+2415018.5+E229-$B$5/24</f>
        <v>2459905.40833333</v>
      </c>
      <c r="G229" s="9" t="n">
        <f aca="false">(F229-2451545)/36525</f>
        <v>0.228895505361634</v>
      </c>
      <c r="I229" s="0" t="n">
        <f aca="false">MOD(280.46646+G229*(36000.76983+G229*0.0003032),360)</f>
        <v>240.880879531313</v>
      </c>
      <c r="J229" s="0" t="n">
        <f aca="false">357.52911+G229*(35999.05029-0.0001537*G229)</f>
        <v>8597.54991061559</v>
      </c>
      <c r="K229" s="0" t="n">
        <f aca="false">0.016708634-G229*(0.000042037+0.0000001267*G229)</f>
        <v>0.0166990052814287</v>
      </c>
      <c r="L229" s="0" t="n">
        <f aca="false">SIN(RADIANS(J229))*(1.914602-G229*(0.004817+0.000014*G229))+SIN(RADIANS(2*J229))*(0.019993-0.000101*G229)+SIN(RADIANS(3*J229))*0.000289</f>
        <v>-1.31163210755196</v>
      </c>
      <c r="M229" s="0" t="n">
        <f aca="false">I229+L229</f>
        <v>239.569247423761</v>
      </c>
      <c r="N229" s="0" t="n">
        <f aca="false">J229+L229</f>
        <v>8596.23827850804</v>
      </c>
      <c r="O229" s="0" t="n">
        <f aca="false">(1.000001018*(1-K229*K229))/(1+K229*COS(RADIANS(N229)))</f>
        <v>0.987808794736807</v>
      </c>
      <c r="P229" s="0" t="n">
        <f aca="false">M229-0.00569-0.00478*SIN(RADIANS(125.04-1934.136*G229))</f>
        <v>239.560338883919</v>
      </c>
      <c r="Q229" s="0" t="n">
        <f aca="false">23+(26+((21.448-G229*(46.815+G229*(0.00059-G229*0.001813))))/60)/60</f>
        <v>23.4363145132631</v>
      </c>
      <c r="R229" s="0" t="n">
        <f aca="false">Q229+0.00256*COS(RADIANS(125.04-1934.136*G229))</f>
        <v>23.4382072180417</v>
      </c>
      <c r="S229" s="0" t="n">
        <f aca="false">DEGREES(ATAN2(COS(RADIANS(P229)),COS(RADIANS(R229))*SIN(RADIANS(P229))))</f>
        <v>-122.638468100204</v>
      </c>
      <c r="T229" s="0" t="n">
        <f aca="false">DEGREES(ASIN(SIN(RADIANS(R229))*SIN(RADIANS(P229))))</f>
        <v>-20.0557213629466</v>
      </c>
      <c r="U229" s="0" t="n">
        <f aca="false">TAN(RADIANS(R229/2))*TAN(RADIANS(R229/2))</f>
        <v>0.04303043610257</v>
      </c>
      <c r="V229" s="0" t="n">
        <f aca="false">4*DEGREES(U229*SIN(2*RADIANS(I229))-2*K229*SIN(RADIANS(J229))+4*K229*U229*SIN(RADIANS(J229))*COS(2*RADIANS(I229))-0.5*U229*U229*SIN(4*RADIANS(I229))-1.25*K229*K229*SIN(2*RADIANS(J229)))</f>
        <v>14.0547395138596</v>
      </c>
      <c r="W229" s="0" t="n">
        <f aca="false">DEGREES(ACOS(COS(RADIANS(90.833))/(COS(RADIANS($B$3))*COS(RADIANS(T229)))-TAN(RADIANS($B$3))*TAN(RADIANS(T229))))</f>
        <v>43.254493312089</v>
      </c>
      <c r="X229" s="7" t="n">
        <f aca="false">(720-4*$B$4-V229+$B$5*60)/1440</f>
        <v>0.499975875337597</v>
      </c>
      <c r="Y229" s="7" t="n">
        <f aca="false">X229-W229*4/1440</f>
        <v>0.379824505026239</v>
      </c>
      <c r="Z229" s="7" t="n">
        <f aca="false">X229+W229*4/1440</f>
        <v>0.620127245648956</v>
      </c>
      <c r="AA229" s="10" t="n">
        <f aca="false">8*W229</f>
        <v>346.035946496712</v>
      </c>
      <c r="AB229" s="0" t="n">
        <f aca="false">MOD(E229*1440+V229+4*$B$4-60*$B$5,1440)</f>
        <v>1368.03473951386</v>
      </c>
      <c r="AC229" s="0" t="n">
        <f aca="false">IF(AB229/4&lt;0,AB229/4+180,AB229/4-180)</f>
        <v>162.008684878464</v>
      </c>
      <c r="AD229" s="0" t="n">
        <f aca="false">DEGREES(ACOS(SIN(RADIANS($B$3))*SIN(RADIANS(T229))+COS(RADIANS($B$3))*COS(RADIANS(T229))*COS(RADIANS(AC229))))</f>
        <v>133.991250710672</v>
      </c>
      <c r="AE229" s="0" t="n">
        <f aca="false">90-AD229</f>
        <v>-43.9912507106723</v>
      </c>
      <c r="AF229" s="0" t="n">
        <f aca="false">IF(AE229&gt;85,0,IF(AE229&gt;5,58.1/TAN(RADIANS(AE229))-0.07/POWER(TAN(RADIANS(AE229)),3)+0.000086/POWER(TAN(RADIANS(AE229)),5),IF(AE229&gt;-0.575,1735+AE229*(-518.2+AE229*(103.4+AE229*(-12.79+AE229*0.711))),-20.772/TAN(RADIANS(AE229)))))/3600</f>
        <v>0.00597683612637302</v>
      </c>
      <c r="AG229" s="0" t="n">
        <f aca="false">AE229+AF229</f>
        <v>-43.9852738745459</v>
      </c>
      <c r="AH229" s="0" t="n">
        <f aca="false">IF(AC229&gt;0,MOD(DEGREES(ACOS(((SIN(RADIANS($B$3))*COS(RADIANS(AD229)))-SIN(RADIANS(T229)))/(COS(RADIANS($B$3))*SIN(RADIANS(AD229)))))+180,360),MOD(540-DEGREES(ACOS(((SIN(RADIANS($B$3))*COS(RADIANS(AD229)))-SIN(RADIANS(T229)))/(COS(RADIANS($B$3))*SIN(RADIANS(AD229))))),360))</f>
        <v>336.216219242446</v>
      </c>
    </row>
    <row r="230" customFormat="false" ht="15" hidden="false" customHeight="false" outlineLevel="0" collapsed="false">
      <c r="D230" s="6" t="n">
        <f aca="false">$B$7</f>
        <v>44886</v>
      </c>
      <c r="E230" s="7" t="n">
        <f aca="false">E229+0.1/24</f>
        <v>0.954166666666665</v>
      </c>
      <c r="F230" s="8" t="n">
        <f aca="false">D230+2415018.5+E230-$B$5/24</f>
        <v>2459905.4125</v>
      </c>
      <c r="G230" s="9" t="n">
        <f aca="false">(F230-2451545)/36525</f>
        <v>0.228895619438743</v>
      </c>
      <c r="I230" s="0" t="n">
        <f aca="false">MOD(280.46646+G230*(36000.76983+G230*0.0003032),360)</f>
        <v>240.884986395085</v>
      </c>
      <c r="J230" s="0" t="n">
        <f aca="false">357.52911+G230*(35999.05029-0.0001537*G230)</f>
        <v>8597.55401728318</v>
      </c>
      <c r="K230" s="0" t="n">
        <f aca="false">0.016708634-G230*(0.000042037+0.0000001267*G230)</f>
        <v>0.0166990052766266</v>
      </c>
      <c r="L230" s="0" t="n">
        <f aca="false">SIN(RADIANS(J230))*(1.914602-G230*(0.004817+0.000014*G230))+SIN(RADIANS(2*J230))*(0.019993-0.000101*G230)+SIN(RADIANS(3*J230))*0.000289</f>
        <v>-1.31153068878308</v>
      </c>
      <c r="M230" s="0" t="n">
        <f aca="false">I230+L230</f>
        <v>239.573455706302</v>
      </c>
      <c r="N230" s="0" t="n">
        <f aca="false">J230+L230</f>
        <v>8596.2424865944</v>
      </c>
      <c r="O230" s="0" t="n">
        <f aca="false">(1.000001018*(1-K230*K230))/(1+K230*COS(RADIANS(N230)))</f>
        <v>0.987807966807281</v>
      </c>
      <c r="P230" s="0" t="n">
        <f aca="false">M230-0.00569-0.00478*SIN(RADIANS(125.04-1934.136*G230))</f>
        <v>239.56454718007</v>
      </c>
      <c r="Q230" s="0" t="n">
        <f aca="false">23+(26+((21.448-G230*(46.815+G230*(0.00059-G230*0.001813))))/60)/60</f>
        <v>23.4363145117796</v>
      </c>
      <c r="R230" s="0" t="n">
        <f aca="false">Q230+0.00256*COS(RADIANS(125.04-1934.136*G230))</f>
        <v>23.4382072231962</v>
      </c>
      <c r="S230" s="0" t="n">
        <f aca="false">DEGREES(ATAN2(COS(RADIANS(P230)),COS(RADIANS(R230))*SIN(RADIANS(P230))))</f>
        <v>-122.63409241448</v>
      </c>
      <c r="T230" s="0" t="n">
        <f aca="false">DEGREES(ASIN(SIN(RADIANS(R230))*SIN(RADIANS(P230))))</f>
        <v>-20.056624103628</v>
      </c>
      <c r="U230" s="0" t="n">
        <f aca="false">TAN(RADIANS(R230/2))*TAN(RADIANS(R230/2))</f>
        <v>0.0430304361220346</v>
      </c>
      <c r="V230" s="0" t="n">
        <f aca="false">4*DEGREES(U230*SIN(2*RADIANS(I230))-2*K230*SIN(RADIANS(J230))+4*K230*U230*SIN(RADIANS(J230))*COS(2*RADIANS(I230))-0.5*U230*U230*SIN(4*RADIANS(I230))-1.25*K230*K230*SIN(2*RADIANS(J230)))</f>
        <v>14.0536523654838</v>
      </c>
      <c r="W230" s="0" t="n">
        <f aca="false">DEGREES(ACOS(COS(RADIANS(90.833))/(COS(RADIANS($B$3))*COS(RADIANS(T230)))-TAN(RADIANS($B$3))*TAN(RADIANS(T230))))</f>
        <v>43.2513851315923</v>
      </c>
      <c r="X230" s="7" t="n">
        <f aca="false">(720-4*$B$4-V230+$B$5*60)/1440</f>
        <v>0.499976630301747</v>
      </c>
      <c r="Y230" s="7" t="n">
        <f aca="false">X230-W230*4/1440</f>
        <v>0.379833893825102</v>
      </c>
      <c r="Z230" s="7" t="n">
        <f aca="false">X230+W230*4/1440</f>
        <v>0.620119366778393</v>
      </c>
      <c r="AA230" s="10" t="n">
        <f aca="false">8*W230</f>
        <v>346.011081052739</v>
      </c>
      <c r="AB230" s="0" t="n">
        <f aca="false">MOD(E230*1440+V230+4*$B$4-60*$B$5,1440)</f>
        <v>1374.03365236548</v>
      </c>
      <c r="AC230" s="0" t="n">
        <f aca="false">IF(AB230/4&lt;0,AB230/4+180,AB230/4-180)</f>
        <v>163.50841309137</v>
      </c>
      <c r="AD230" s="0" t="n">
        <f aca="false">DEGREES(ACOS(SIN(RADIANS($B$3))*SIN(RADIANS(T230))+COS(RADIANS($B$3))*COS(RADIANS(T230))*COS(RADIANS(AC230))))</f>
        <v>134.24284034202</v>
      </c>
      <c r="AE230" s="0" t="n">
        <f aca="false">90-AD230</f>
        <v>-44.2428403420201</v>
      </c>
      <c r="AF230" s="0" t="n">
        <f aca="false">IF(AE230&gt;85,0,IF(AE230&gt;5,58.1/TAN(RADIANS(AE230))-0.07/POWER(TAN(RADIANS(AE230)),3)+0.000086/POWER(TAN(RADIANS(AE230)),5),IF(AE230&gt;-0.575,1735+AE230*(-518.2+AE230*(103.4+AE230*(-12.79+AE230*0.711))),-20.772/TAN(RADIANS(AE230)))))/3600</f>
        <v>0.00592455166668515</v>
      </c>
      <c r="AG230" s="0" t="n">
        <f aca="false">AE230+AF230</f>
        <v>-44.2369157903534</v>
      </c>
      <c r="AH230" s="0" t="n">
        <f aca="false">IF(AC230&gt;0,MOD(DEGREES(ACOS(((SIN(RADIANS($B$3))*COS(RADIANS(AD230)))-SIN(RADIANS(T230)))/(COS(RADIANS($B$3))*SIN(RADIANS(AD230)))))+180,360),MOD(540-DEGREES(ACOS(((SIN(RADIANS($B$3))*COS(RADIANS(AD230)))-SIN(RADIANS(T230)))/(COS(RADIANS($B$3))*SIN(RADIANS(AD230))))),360))</f>
        <v>338.14702719193</v>
      </c>
    </row>
    <row r="231" customFormat="false" ht="15" hidden="false" customHeight="false" outlineLevel="0" collapsed="false">
      <c r="D231" s="6" t="n">
        <f aca="false">$B$7</f>
        <v>44886</v>
      </c>
      <c r="E231" s="7" t="n">
        <f aca="false">E230+0.1/24</f>
        <v>0.958333333333331</v>
      </c>
      <c r="F231" s="8" t="n">
        <f aca="false">D231+2415018.5+E231-$B$5/24</f>
        <v>2459905.41666667</v>
      </c>
      <c r="G231" s="9" t="n">
        <f aca="false">(F231-2451545)/36525</f>
        <v>0.228895733515865</v>
      </c>
      <c r="I231" s="0" t="n">
        <f aca="false">MOD(280.46646+G231*(36000.76983+G231*0.0003032),360)</f>
        <v>240.889093259315</v>
      </c>
      <c r="J231" s="0" t="n">
        <f aca="false">357.52911+G231*(35999.05029-0.0001537*G231)</f>
        <v>8597.55812395123</v>
      </c>
      <c r="K231" s="0" t="n">
        <f aca="false">0.016708634-G231*(0.000042037+0.0000001267*G231)</f>
        <v>0.0166990052718246</v>
      </c>
      <c r="L231" s="0" t="n">
        <f aca="false">SIN(RADIANS(J231))*(1.914602-G231*(0.004817+0.000014*G231))+SIN(RADIANS(2*J231))*(0.019993-0.000101*G231)+SIN(RADIANS(3*J231))*0.000289</f>
        <v>-1.31142926294929</v>
      </c>
      <c r="M231" s="0" t="n">
        <f aca="false">I231+L231</f>
        <v>239.577663996366</v>
      </c>
      <c r="N231" s="0" t="n">
        <f aca="false">J231+L231</f>
        <v>8596.24669468828</v>
      </c>
      <c r="O231" s="0" t="n">
        <f aca="false">(1.000001018*(1-K231*K231))/(1+K231*COS(RADIANS(N231)))</f>
        <v>0.987807138941165</v>
      </c>
      <c r="P231" s="0" t="n">
        <f aca="false">M231-0.00569-0.00478*SIN(RADIANS(125.04-1934.136*G231))</f>
        <v>239.568755483743</v>
      </c>
      <c r="Q231" s="0" t="n">
        <f aca="false">23+(26+((21.448-G231*(46.815+G231*(0.00059-G231*0.001813))))/60)/60</f>
        <v>23.4363145102961</v>
      </c>
      <c r="R231" s="0" t="n">
        <f aca="false">Q231+0.00256*COS(RADIANS(125.04-1934.136*G231))</f>
        <v>23.4382072283506</v>
      </c>
      <c r="S231" s="0" t="n">
        <f aca="false">DEGREES(ATAN2(COS(RADIANS(P231)),COS(RADIANS(R231))*SIN(RADIANS(P231))))</f>
        <v>-122.629716670598</v>
      </c>
      <c r="T231" s="0" t="n">
        <f aca="false">DEGREES(ASIN(SIN(RADIANS(R231))*SIN(RADIANS(P231))))</f>
        <v>-20.0575267382682</v>
      </c>
      <c r="U231" s="0" t="n">
        <f aca="false">TAN(RADIANS(R231/2))*TAN(RADIANS(R231/2))</f>
        <v>0.043030436141499</v>
      </c>
      <c r="V231" s="0" t="n">
        <f aca="false">4*DEGREES(U231*SIN(2*RADIANS(I231))-2*K231*SIN(RADIANS(J231))+4*K231*U231*SIN(RADIANS(J231))*COS(2*RADIANS(I231))-0.5*U231*U231*SIN(4*RADIANS(I231))-1.25*K231*K231*SIN(2*RADIANS(J231)))</f>
        <v>14.0525649863875</v>
      </c>
      <c r="W231" s="0" t="n">
        <f aca="false">DEGREES(ACOS(COS(RADIANS(90.833))/(COS(RADIANS($B$3))*COS(RADIANS(T231)))-TAN(RADIANS($B$3))*TAN(RADIANS(T231))))</f>
        <v>43.2482771019802</v>
      </c>
      <c r="X231" s="7" t="n">
        <f aca="false">(720-4*$B$4-V231+$B$5*60)/1440</f>
        <v>0.49997738542612</v>
      </c>
      <c r="Y231" s="7" t="n">
        <f aca="false">X231-W231*4/1440</f>
        <v>0.379843282365064</v>
      </c>
      <c r="Z231" s="7" t="n">
        <f aca="false">X231+W231*4/1440</f>
        <v>0.620111488487176</v>
      </c>
      <c r="AA231" s="10" t="n">
        <f aca="false">8*W231</f>
        <v>345.986216815842</v>
      </c>
      <c r="AB231" s="0" t="n">
        <f aca="false">MOD(E231*1440+V231+4*$B$4-60*$B$5,1440)</f>
        <v>1380.03256498638</v>
      </c>
      <c r="AC231" s="0" t="n">
        <f aca="false">IF(AB231/4&lt;0,AB231/4+180,AB231/4-180)</f>
        <v>165.008141246596</v>
      </c>
      <c r="AD231" s="0" t="n">
        <f aca="false">DEGREES(ACOS(SIN(RADIANS($B$3))*SIN(RADIANS(T231))+COS(RADIANS($B$3))*COS(RADIANS(T231))*COS(RADIANS(AC231))))</f>
        <v>134.474146115915</v>
      </c>
      <c r="AE231" s="0" t="n">
        <f aca="false">90-AD231</f>
        <v>-44.4741461159152</v>
      </c>
      <c r="AF231" s="0" t="n">
        <f aca="false">IF(AE231&gt;85,0,IF(AE231&gt;5,58.1/TAN(RADIANS(AE231))-0.07/POWER(TAN(RADIANS(AE231)),3)+0.000086/POWER(TAN(RADIANS(AE231)),5),IF(AE231&gt;-0.575,1735+AE231*(-518.2+AE231*(103.4+AE231*(-12.79+AE231*0.711))),-20.772/TAN(RADIANS(AE231)))))/3600</f>
        <v>0.00587689684239429</v>
      </c>
      <c r="AG231" s="0" t="n">
        <f aca="false">AE231+AF231</f>
        <v>-44.4682692190728</v>
      </c>
      <c r="AH231" s="0" t="n">
        <f aca="false">IF(AC231&gt;0,MOD(DEGREES(ACOS(((SIN(RADIANS($B$3))*COS(RADIANS(AD231)))-SIN(RADIANS(T231)))/(COS(RADIANS($B$3))*SIN(RADIANS(AD231)))))+180,360),MOD(540-DEGREES(ACOS(((SIN(RADIANS($B$3))*COS(RADIANS(AD231)))-SIN(RADIANS(T231)))/(COS(RADIANS($B$3))*SIN(RADIANS(AD231))))),360))</f>
        <v>340.090698431393</v>
      </c>
    </row>
    <row r="232" customFormat="false" ht="15" hidden="false" customHeight="false" outlineLevel="0" collapsed="false">
      <c r="D232" s="6" t="n">
        <f aca="false">$B$7</f>
        <v>44886</v>
      </c>
      <c r="E232" s="7" t="n">
        <f aca="false">E231+0.1/24</f>
        <v>0.962499999999998</v>
      </c>
      <c r="F232" s="8" t="n">
        <f aca="false">D232+2415018.5+E232-$B$5/24</f>
        <v>2459905.42083333</v>
      </c>
      <c r="G232" s="9" t="n">
        <f aca="false">(F232-2451545)/36525</f>
        <v>0.228895847592975</v>
      </c>
      <c r="I232" s="0" t="n">
        <f aca="false">MOD(280.46646+G232*(36000.76983+G232*0.0003032),360)</f>
        <v>240.893200123086</v>
      </c>
      <c r="J232" s="0" t="n">
        <f aca="false">357.52911+G232*(35999.05029-0.0001537*G232)</f>
        <v>8597.56223061881</v>
      </c>
      <c r="K232" s="0" t="n">
        <f aca="false">0.016708634-G232*(0.000042037+0.0000001267*G232)</f>
        <v>0.0166990052670225</v>
      </c>
      <c r="L232" s="0" t="n">
        <f aca="false">SIN(RADIANS(J232))*(1.914602-G232*(0.004817+0.000014*G232))+SIN(RADIANS(2*J232))*(0.019993-0.000101*G232)+SIN(RADIANS(3*J232))*0.000289</f>
        <v>-1.31132783007368</v>
      </c>
      <c r="M232" s="0" t="n">
        <f aca="false">I232+L232</f>
        <v>239.581872293012</v>
      </c>
      <c r="N232" s="0" t="n">
        <f aca="false">J232+L232</f>
        <v>8596.25090278874</v>
      </c>
      <c r="O232" s="0" t="n">
        <f aca="false">(1.000001018*(1-K232*K232))/(1+K232*COS(RADIANS(N232)))</f>
        <v>0.987806311138648</v>
      </c>
      <c r="P232" s="0" t="n">
        <f aca="false">M232-0.00569-0.00478*SIN(RADIANS(125.04-1934.136*G232))</f>
        <v>239.572963793999</v>
      </c>
      <c r="Q232" s="0" t="n">
        <f aca="false">23+(26+((21.448-G232*(46.815+G232*(0.00059-G232*0.001813))))/60)/60</f>
        <v>23.4363145088126</v>
      </c>
      <c r="R232" s="0" t="n">
        <f aca="false">Q232+0.00256*COS(RADIANS(125.04-1934.136*G232))</f>
        <v>23.438207233505</v>
      </c>
      <c r="S232" s="0" t="n">
        <f aca="false">DEGREES(ATAN2(COS(RADIANS(P232)),COS(RADIANS(R232))*SIN(RADIANS(P232))))</f>
        <v>-122.625340869536</v>
      </c>
      <c r="T232" s="0" t="n">
        <f aca="false">DEGREES(ASIN(SIN(RADIANS(R232))*SIN(RADIANS(P232))))</f>
        <v>-20.058429266659</v>
      </c>
      <c r="U232" s="0" t="n">
        <f aca="false">TAN(RADIANS(R232/2))*TAN(RADIANS(R232/2))</f>
        <v>0.0430304361609634</v>
      </c>
      <c r="V232" s="0" t="n">
        <f aca="false">4*DEGREES(U232*SIN(2*RADIANS(I232))-2*K232*SIN(RADIANS(J232))+4*K232*U232*SIN(RADIANS(J232))*COS(2*RADIANS(I232))-0.5*U232*U232*SIN(4*RADIANS(I232))-1.25*K232*K232*SIN(2*RADIANS(J232)))</f>
        <v>14.0514773768274</v>
      </c>
      <c r="W232" s="0" t="n">
        <f aca="false">DEGREES(ACOS(COS(RADIANS(90.833))/(COS(RADIANS($B$3))*COS(RADIANS(T232)))-TAN(RADIANS($B$3))*TAN(RADIANS(T232))))</f>
        <v>43.245169223997</v>
      </c>
      <c r="X232" s="7" t="n">
        <f aca="false">(720-4*$B$4-V232+$B$5*60)/1440</f>
        <v>0.499978140710537</v>
      </c>
      <c r="Y232" s="7" t="n">
        <f aca="false">X232-W232*4/1440</f>
        <v>0.379852670643878</v>
      </c>
      <c r="Z232" s="7" t="n">
        <f aca="false">X232+W232*4/1440</f>
        <v>0.620103610777195</v>
      </c>
      <c r="AA232" s="10" t="n">
        <f aca="false">8*W232</f>
        <v>345.961353791976</v>
      </c>
      <c r="AB232" s="0" t="n">
        <f aca="false">MOD(E232*1440+V232+4*$B$4-60*$B$5,1440)</f>
        <v>1386.03147737682</v>
      </c>
      <c r="AC232" s="0" t="n">
        <f aca="false">IF(AB232/4&lt;0,AB232/4+180,AB232/4-180)</f>
        <v>166.507869344206</v>
      </c>
      <c r="AD232" s="0" t="n">
        <f aca="false">DEGREES(ACOS(SIN(RADIANS($B$3))*SIN(RADIANS(T232))+COS(RADIANS($B$3))*COS(RADIANS(T232))*COS(RADIANS(AC232))))</f>
        <v>134.684771927184</v>
      </c>
      <c r="AE232" s="0" t="n">
        <f aca="false">90-AD232</f>
        <v>-44.684771927184</v>
      </c>
      <c r="AF232" s="0" t="n">
        <f aca="false">IF(AE232&gt;85,0,IF(AE232&gt;5,58.1/TAN(RADIANS(AE232))-0.07/POWER(TAN(RADIANS(AE232)),3)+0.000086/POWER(TAN(RADIANS(AE232)),5),IF(AE232&gt;-0.575,1735+AE232*(-518.2+AE232*(103.4+AE232*(-12.79+AE232*0.711))),-20.772/TAN(RADIANS(AE232)))))/3600</f>
        <v>0.00583384228962158</v>
      </c>
      <c r="AG232" s="0" t="n">
        <f aca="false">AE232+AF232</f>
        <v>-44.6789380848944</v>
      </c>
      <c r="AH232" s="0" t="n">
        <f aca="false">IF(AC232&gt;0,MOD(DEGREES(ACOS(((SIN(RADIANS($B$3))*COS(RADIANS(AD232)))-SIN(RADIANS(T232)))/(COS(RADIANS($B$3))*SIN(RADIANS(AD232)))))+180,360),MOD(540-DEGREES(ACOS(((SIN(RADIANS($B$3))*COS(RADIANS(AD232)))-SIN(RADIANS(T232)))/(COS(RADIANS($B$3))*SIN(RADIANS(AD232))))),360))</f>
        <v>342.046341658535</v>
      </c>
    </row>
    <row r="233" customFormat="false" ht="15" hidden="false" customHeight="false" outlineLevel="0" collapsed="false">
      <c r="D233" s="6" t="n">
        <f aca="false">$B$7</f>
        <v>44886</v>
      </c>
      <c r="E233" s="7" t="n">
        <f aca="false">E232+0.1/24</f>
        <v>0.966666666666665</v>
      </c>
      <c r="F233" s="8" t="n">
        <f aca="false">D233+2415018.5+E233-$B$5/24</f>
        <v>2459905.425</v>
      </c>
      <c r="G233" s="9" t="n">
        <f aca="false">(F233-2451545)/36525</f>
        <v>0.228895961670097</v>
      </c>
      <c r="I233" s="0" t="n">
        <f aca="false">MOD(280.46646+G233*(36000.76983+G233*0.0003032),360)</f>
        <v>240.897306987317</v>
      </c>
      <c r="J233" s="0" t="n">
        <f aca="false">357.52911+G233*(35999.05029-0.0001537*G233)</f>
        <v>8597.56633728686</v>
      </c>
      <c r="K233" s="0" t="n">
        <f aca="false">0.016708634-G233*(0.000042037+0.0000001267*G233)</f>
        <v>0.0166990052622204</v>
      </c>
      <c r="L233" s="0" t="n">
        <f aca="false">SIN(RADIANS(J233))*(1.914602-G233*(0.004817+0.000014*G233))+SIN(RADIANS(2*J233))*(0.019993-0.000101*G233)+SIN(RADIANS(3*J233))*0.000289</f>
        <v>-1.31122639013417</v>
      </c>
      <c r="M233" s="0" t="n">
        <f aca="false">I233+L233</f>
        <v>239.586080597183</v>
      </c>
      <c r="N233" s="0" t="n">
        <f aca="false">J233+L233</f>
        <v>8596.25511089673</v>
      </c>
      <c r="O233" s="0" t="n">
        <f aca="false">(1.000001018*(1-K233*K233))/(1+K233*COS(RADIANS(N233)))</f>
        <v>0.98780548339955</v>
      </c>
      <c r="P233" s="0" t="n">
        <f aca="false">M233-0.00569-0.00478*SIN(RADIANS(125.04-1934.136*G233))</f>
        <v>239.577172111779</v>
      </c>
      <c r="Q233" s="0" t="n">
        <f aca="false">23+(26+((21.448-G233*(46.815+G233*(0.00059-G233*0.001813))))/60)/60</f>
        <v>23.4363145073292</v>
      </c>
      <c r="R233" s="0" t="n">
        <f aca="false">Q233+0.00256*COS(RADIANS(125.04-1934.136*G233))</f>
        <v>23.4382072386594</v>
      </c>
      <c r="S233" s="0" t="n">
        <f aca="false">DEGREES(ATAN2(COS(RADIANS(P233)),COS(RADIANS(R233))*SIN(RADIANS(P233))))</f>
        <v>-122.620965010317</v>
      </c>
      <c r="T233" s="0" t="n">
        <f aca="false">DEGREES(ASIN(SIN(RADIANS(R233))*SIN(RADIANS(P233))))</f>
        <v>-20.0593316889951</v>
      </c>
      <c r="U233" s="0" t="n">
        <f aca="false">TAN(RADIANS(R233/2))*TAN(RADIANS(R233/2))</f>
        <v>0.0430304361804277</v>
      </c>
      <c r="V233" s="0" t="n">
        <f aca="false">4*DEGREES(U233*SIN(2*RADIANS(I233))-2*K233*SIN(RADIANS(J233))+4*K233*U233*SIN(RADIANS(J233))*COS(2*RADIANS(I233))-0.5*U233*U233*SIN(4*RADIANS(I233))-1.25*K233*K233*SIN(2*RADIANS(J233)))</f>
        <v>14.0503895365749</v>
      </c>
      <c r="W233" s="0" t="n">
        <f aca="false">DEGREES(ACOS(COS(RADIANS(90.833))/(COS(RADIANS($B$3))*COS(RADIANS(T233)))-TAN(RADIANS($B$3))*TAN(RADIANS(T233))))</f>
        <v>43.2420614969993</v>
      </c>
      <c r="X233" s="7" t="n">
        <f aca="false">(720-4*$B$4-V233+$B$5*60)/1440</f>
        <v>0.499978896155156</v>
      </c>
      <c r="Y233" s="7" t="n">
        <f aca="false">X233-W233*4/1440</f>
        <v>0.379862058663492</v>
      </c>
      <c r="Z233" s="7" t="n">
        <f aca="false">X233+W233*4/1440</f>
        <v>0.620095733646821</v>
      </c>
      <c r="AA233" s="10" t="n">
        <f aca="false">8*W233</f>
        <v>345.936491975994</v>
      </c>
      <c r="AB233" s="0" t="n">
        <f aca="false">MOD(E233*1440+V233+4*$B$4-60*$B$5,1440)</f>
        <v>1392.03038953657</v>
      </c>
      <c r="AC233" s="0" t="n">
        <f aca="false">IF(AB233/4&lt;0,AB233/4+180,AB233/4-180)</f>
        <v>168.007597384143</v>
      </c>
      <c r="AD233" s="0" t="n">
        <f aca="false">DEGREES(ACOS(SIN(RADIANS($B$3))*SIN(RADIANS(T233))+COS(RADIANS($B$3))*COS(RADIANS(T233))*COS(RADIANS(AC233))))</f>
        <v>134.874350742335</v>
      </c>
      <c r="AE233" s="0" t="n">
        <f aca="false">90-AD233</f>
        <v>-44.8743507423353</v>
      </c>
      <c r="AF233" s="0" t="n">
        <f aca="false">IF(AE233&gt;85,0,IF(AE233&gt;5,58.1/TAN(RADIANS(AE233))-0.07/POWER(TAN(RADIANS(AE233)),3)+0.000086/POWER(TAN(RADIANS(AE233)),5),IF(AE233&gt;-0.575,1735+AE233*(-518.2+AE233*(103.4+AE233*(-12.79+AE233*0.711))),-20.772/TAN(RADIANS(AE233)))))/3600</f>
        <v>0.00579536280320736</v>
      </c>
      <c r="AG233" s="0" t="n">
        <f aca="false">AE233+AF233</f>
        <v>-44.8685553795321</v>
      </c>
      <c r="AH233" s="0" t="n">
        <f aca="false">IF(AC233&gt;0,MOD(DEGREES(ACOS(((SIN(RADIANS($B$3))*COS(RADIANS(AD233)))-SIN(RADIANS(T233)))/(COS(RADIANS($B$3))*SIN(RADIANS(AD233)))))+180,360),MOD(540-DEGREES(ACOS(((SIN(RADIANS($B$3))*COS(RADIANS(AD233)))-SIN(RADIANS(T233)))/(COS(RADIANS($B$3))*SIN(RADIANS(AD233))))),360))</f>
        <v>344.012994113275</v>
      </c>
    </row>
    <row r="234" customFormat="false" ht="15" hidden="false" customHeight="false" outlineLevel="0" collapsed="false">
      <c r="D234" s="6" t="n">
        <f aca="false">$B$7</f>
        <v>44886</v>
      </c>
      <c r="E234" s="7" t="n">
        <f aca="false">E233+0.1/24</f>
        <v>0.970833333333331</v>
      </c>
      <c r="F234" s="8" t="n">
        <f aca="false">D234+2415018.5+E234-$B$5/24</f>
        <v>2459905.42916667</v>
      </c>
      <c r="G234" s="9" t="n">
        <f aca="false">(F234-2451545)/36525</f>
        <v>0.228896075747206</v>
      </c>
      <c r="I234" s="0" t="n">
        <f aca="false">MOD(280.46646+G234*(36000.76983+G234*0.0003032),360)</f>
        <v>240.90141385109</v>
      </c>
      <c r="J234" s="0" t="n">
        <f aca="false">357.52911+G234*(35999.05029-0.0001537*G234)</f>
        <v>8597.57044395445</v>
      </c>
      <c r="K234" s="0" t="n">
        <f aca="false">0.016708634-G234*(0.000042037+0.0000001267*G234)</f>
        <v>0.0166990052574183</v>
      </c>
      <c r="L234" s="0" t="n">
        <f aca="false">SIN(RADIANS(J234))*(1.914602-G234*(0.004817+0.000014*G234))+SIN(RADIANS(2*J234))*(0.019993-0.000101*G234)+SIN(RADIANS(3*J234))*0.000289</f>
        <v>-1.31112494315392</v>
      </c>
      <c r="M234" s="0" t="n">
        <f aca="false">I234+L234</f>
        <v>239.590288907936</v>
      </c>
      <c r="N234" s="0" t="n">
        <f aca="false">J234+L234</f>
        <v>8596.2593190113</v>
      </c>
      <c r="O234" s="0" t="n">
        <f aca="false">(1.000001018*(1-K234*K234))/(1+K234*COS(RADIANS(N234)))</f>
        <v>0.987804655724059</v>
      </c>
      <c r="P234" s="0" t="n">
        <f aca="false">M234-0.00569-0.00478*SIN(RADIANS(125.04-1934.136*G234))</f>
        <v>239.581380436141</v>
      </c>
      <c r="Q234" s="0" t="n">
        <f aca="false">23+(26+((21.448-G234*(46.815+G234*(0.00059-G234*0.001813))))/60)/60</f>
        <v>23.4363145058457</v>
      </c>
      <c r="R234" s="0" t="n">
        <f aca="false">Q234+0.00256*COS(RADIANS(125.04-1934.136*G234))</f>
        <v>23.4382072438137</v>
      </c>
      <c r="S234" s="0" t="n">
        <f aca="false">DEGREES(ATAN2(COS(RADIANS(P234)),COS(RADIANS(R234))*SIN(RADIANS(P234))))</f>
        <v>-122.616589093926</v>
      </c>
      <c r="T234" s="0" t="n">
        <f aca="false">DEGREES(ASIN(SIN(RADIANS(R234))*SIN(RADIANS(P234))))</f>
        <v>-20.0602340050674</v>
      </c>
      <c r="U234" s="0" t="n">
        <f aca="false">TAN(RADIANS(R234/2))*TAN(RADIANS(R234/2))</f>
        <v>0.0430304361998918</v>
      </c>
      <c r="V234" s="0" t="n">
        <f aca="false">4*DEGREES(U234*SIN(2*RADIANS(I234))-2*K234*SIN(RADIANS(J234))+4*K234*U234*SIN(RADIANS(J234))*COS(2*RADIANS(I234))-0.5*U234*U234*SIN(4*RADIANS(I234))-1.25*K234*K234*SIN(2*RADIANS(J234)))</f>
        <v>14.0493014658877</v>
      </c>
      <c r="W234" s="0" t="n">
        <f aca="false">DEGREES(ACOS(COS(RADIANS(90.833))/(COS(RADIANS($B$3))*COS(RADIANS(T234)))-TAN(RADIANS($B$3))*TAN(RADIANS(T234))))</f>
        <v>43.2389539217341</v>
      </c>
      <c r="X234" s="7" t="n">
        <f aca="false">(720-4*$B$4-V234+$B$5*60)/1440</f>
        <v>0.4999796517598</v>
      </c>
      <c r="Y234" s="7" t="n">
        <f aca="false">X234-W234*4/1440</f>
        <v>0.37987144642165</v>
      </c>
      <c r="Z234" s="7" t="n">
        <f aca="false">X234+W234*4/1440</f>
        <v>0.620087857097951</v>
      </c>
      <c r="AA234" s="10" t="n">
        <f aca="false">8*W234</f>
        <v>345.911631373873</v>
      </c>
      <c r="AB234" s="0" t="n">
        <f aca="false">MOD(E234*1440+V234+4*$B$4-60*$B$5,1440)</f>
        <v>1398.02930146588</v>
      </c>
      <c r="AC234" s="0" t="n">
        <f aca="false">IF(AB234/4&lt;0,AB234/4+180,AB234/4-180)</f>
        <v>169.507325366471</v>
      </c>
      <c r="AD234" s="0" t="n">
        <f aca="false">DEGREES(ACOS(SIN(RADIANS($B$3))*SIN(RADIANS(T234))+COS(RADIANS($B$3))*COS(RADIANS(T234))*COS(RADIANS(AC234))))</f>
        <v>135.042546936338</v>
      </c>
      <c r="AE234" s="0" t="n">
        <f aca="false">90-AD234</f>
        <v>-45.0425469363381</v>
      </c>
      <c r="AF234" s="0" t="n">
        <f aca="false">IF(AE234&gt;85,0,IF(AE234&gt;5,58.1/TAN(RADIANS(AE234))-0.07/POWER(TAN(RADIANS(AE234)),3)+0.000086/POWER(TAN(RADIANS(AE234)),5),IF(AE234&gt;-0.575,1735+AE234*(-518.2+AE234*(103.4+AE234*(-12.79+AE234*0.711))),-20.772/TAN(RADIANS(AE234)))))/3600</f>
        <v>0.00576143693641012</v>
      </c>
      <c r="AG234" s="0" t="n">
        <f aca="false">AE234+AF234</f>
        <v>-45.0367854994017</v>
      </c>
      <c r="AH234" s="0" t="n">
        <f aca="false">IF(AC234&gt;0,MOD(DEGREES(ACOS(((SIN(RADIANS($B$3))*COS(RADIANS(AD234)))-SIN(RADIANS(T234)))/(COS(RADIANS($B$3))*SIN(RADIANS(AD234)))))+180,360),MOD(540-DEGREES(ACOS(((SIN(RADIANS($B$3))*COS(RADIANS(AD234)))-SIN(RADIANS(T234)))/(COS(RADIANS($B$3))*SIN(RADIANS(AD234))))),360))</f>
        <v>345.989625428089</v>
      </c>
    </row>
    <row r="235" customFormat="false" ht="15" hidden="false" customHeight="false" outlineLevel="0" collapsed="false">
      <c r="D235" s="6" t="n">
        <f aca="false">$B$7</f>
        <v>44886</v>
      </c>
      <c r="E235" s="7" t="n">
        <f aca="false">E234+0.1/24</f>
        <v>0.974999999999998</v>
      </c>
      <c r="F235" s="8" t="n">
        <f aca="false">D235+2415018.5+E235-$B$5/24</f>
        <v>2459905.43333333</v>
      </c>
      <c r="G235" s="9" t="n">
        <f aca="false">(F235-2451545)/36525</f>
        <v>0.228896189824328</v>
      </c>
      <c r="I235" s="0" t="n">
        <f aca="false">MOD(280.46646+G235*(36000.76983+G235*0.0003032),360)</f>
        <v>240.90552071532</v>
      </c>
      <c r="J235" s="0" t="n">
        <f aca="false">357.52911+G235*(35999.05029-0.0001537*G235)</f>
        <v>8597.5745506225</v>
      </c>
      <c r="K235" s="0" t="n">
        <f aca="false">0.016708634-G235*(0.000042037+0.0000001267*G235)</f>
        <v>0.0166990052526162</v>
      </c>
      <c r="L235" s="0" t="n">
        <f aca="false">SIN(RADIANS(J235))*(1.914602-G235*(0.004817+0.000014*G235))+SIN(RADIANS(2*J235))*(0.019993-0.000101*G235)+SIN(RADIANS(3*J235))*0.000289</f>
        <v>-1.3110234891107</v>
      </c>
      <c r="M235" s="0" t="n">
        <f aca="false">I235+L235</f>
        <v>239.594497226209</v>
      </c>
      <c r="N235" s="0" t="n">
        <f aca="false">J235+L235</f>
        <v>8596.26352713339</v>
      </c>
      <c r="O235" s="0" t="n">
        <f aca="false">(1.000001018*(1-K235*K235))/(1+K235*COS(RADIANS(N235)))</f>
        <v>0.987803828111995</v>
      </c>
      <c r="P235" s="0" t="n">
        <f aca="false">M235-0.00569-0.00478*SIN(RADIANS(125.04-1934.136*G235))</f>
        <v>239.585588768024</v>
      </c>
      <c r="Q235" s="0" t="n">
        <f aca="false">23+(26+((21.448-G235*(46.815+G235*(0.00059-G235*0.001813))))/60)/60</f>
        <v>23.4363145043622</v>
      </c>
      <c r="R235" s="0" t="n">
        <f aca="false">Q235+0.00256*COS(RADIANS(125.04-1934.136*G235))</f>
        <v>23.438207248968</v>
      </c>
      <c r="S235" s="0" t="n">
        <f aca="false">DEGREES(ATAN2(COS(RADIANS(P235)),COS(RADIANS(R235))*SIN(RADIANS(P235))))</f>
        <v>-122.612213119388</v>
      </c>
      <c r="T235" s="0" t="n">
        <f aca="false">DEGREES(ASIN(SIN(RADIANS(R235))*SIN(RADIANS(P235))))</f>
        <v>-20.0611362150699</v>
      </c>
      <c r="U235" s="0" t="n">
        <f aca="false">TAN(RADIANS(R235/2))*TAN(RADIANS(R235/2))</f>
        <v>0.0430304362193559</v>
      </c>
      <c r="V235" s="0" t="n">
        <f aca="false">4*DEGREES(U235*SIN(2*RADIANS(I235))-2*K235*SIN(RADIANS(J235))+4*K235*U235*SIN(RADIANS(J235))*COS(2*RADIANS(I235))-0.5*U235*U235*SIN(4*RADIANS(I235))-1.25*K235*K235*SIN(2*RADIANS(J235)))</f>
        <v>14.0482131645371</v>
      </c>
      <c r="W235" s="0" t="n">
        <f aca="false">DEGREES(ACOS(COS(RADIANS(90.833))/(COS(RADIANS($B$3))*COS(RADIANS(T235)))-TAN(RADIANS($B$3))*TAN(RADIANS(T235))))</f>
        <v>43.235846497561</v>
      </c>
      <c r="X235" s="7" t="n">
        <f aca="false">(720-4*$B$4-V235+$B$5*60)/1440</f>
        <v>0.499980407524627</v>
      </c>
      <c r="Y235" s="7" t="n">
        <f aca="false">X235-W235*4/1440</f>
        <v>0.379880833920291</v>
      </c>
      <c r="Z235" s="7" t="n">
        <f aca="false">X235+W235*4/1440</f>
        <v>0.620079981128963</v>
      </c>
      <c r="AA235" s="10" t="n">
        <f aca="false">8*W235</f>
        <v>345.886771980488</v>
      </c>
      <c r="AB235" s="0" t="n">
        <f aca="false">MOD(E235*1440+V235+4*$B$4-60*$B$5,1440)</f>
        <v>1404.02821316453</v>
      </c>
      <c r="AC235" s="0" t="n">
        <f aca="false">IF(AB235/4&lt;0,AB235/4+180,AB235/4-180)</f>
        <v>171.007053291134</v>
      </c>
      <c r="AD235" s="0" t="n">
        <f aca="false">DEGREES(ACOS(SIN(RADIANS($B$3))*SIN(RADIANS(T235))+COS(RADIANS($B$3))*COS(RADIANS(T235))*COS(RADIANS(AC235))))</f>
        <v>135.189058504608</v>
      </c>
      <c r="AE235" s="0" t="n">
        <f aca="false">90-AD235</f>
        <v>-45.1890585046082</v>
      </c>
      <c r="AF235" s="0" t="n">
        <f aca="false">IF(AE235&gt;85,0,IF(AE235&gt;5,58.1/TAN(RADIANS(AE235))-0.07/POWER(TAN(RADIANS(AE235)),3)+0.000086/POWER(TAN(RADIANS(AE235)),5),IF(AE235&gt;-0.575,1735+AE235*(-518.2+AE235*(103.4+AE235*(-12.79+AE235*0.711))),-20.772/TAN(RADIANS(AE235)))))/3600</f>
        <v>0.00573204663506702</v>
      </c>
      <c r="AG235" s="0" t="n">
        <f aca="false">AE235+AF235</f>
        <v>-45.1833264579732</v>
      </c>
      <c r="AH235" s="0" t="n">
        <f aca="false">IF(AC235&gt;0,MOD(DEGREES(ACOS(((SIN(RADIANS($B$3))*COS(RADIANS(AD235)))-SIN(RADIANS(T235)))/(COS(RADIANS($B$3))*SIN(RADIANS(AD235)))))+180,360),MOD(540-DEGREES(ACOS(((SIN(RADIANS($B$3))*COS(RADIANS(AD235)))-SIN(RADIANS(T235)))/(COS(RADIANS($B$3))*SIN(RADIANS(AD235))))),360))</f>
        <v>347.975142369723</v>
      </c>
    </row>
    <row r="236" customFormat="false" ht="15" hidden="false" customHeight="false" outlineLevel="0" collapsed="false">
      <c r="D236" s="6" t="n">
        <f aca="false">$B$7</f>
        <v>44886</v>
      </c>
      <c r="E236" s="7" t="n">
        <f aca="false">E235+0.1/24</f>
        <v>0.979166666666664</v>
      </c>
      <c r="F236" s="8" t="n">
        <f aca="false">D236+2415018.5+E236-$B$5/24</f>
        <v>2459905.4375</v>
      </c>
      <c r="G236" s="9" t="n">
        <f aca="false">(F236-2451545)/36525</f>
        <v>0.228896303901437</v>
      </c>
      <c r="I236" s="0" t="n">
        <f aca="false">MOD(280.46646+G236*(36000.76983+G236*0.0003032),360)</f>
        <v>240.909627579091</v>
      </c>
      <c r="J236" s="0" t="n">
        <f aca="false">357.52911+G236*(35999.05029-0.0001537*G236)</f>
        <v>8597.57865729008</v>
      </c>
      <c r="K236" s="0" t="n">
        <f aca="false">0.016708634-G236*(0.000042037+0.0000001267*G236)</f>
        <v>0.0166990052478142</v>
      </c>
      <c r="L236" s="0" t="n">
        <f aca="false">SIN(RADIANS(J236))*(1.914602-G236*(0.004817+0.000014*G236))+SIN(RADIANS(2*J236))*(0.019993-0.000101*G236)+SIN(RADIANS(3*J236))*0.000289</f>
        <v>-1.31092202802792</v>
      </c>
      <c r="M236" s="0" t="n">
        <f aca="false">I236+L236</f>
        <v>239.598705551063</v>
      </c>
      <c r="N236" s="0" t="n">
        <f aca="false">J236+L236</f>
        <v>8596.26773526205</v>
      </c>
      <c r="O236" s="0" t="n">
        <f aca="false">(1.000001018*(1-K236*K236))/(1+K236*COS(RADIANS(N236)))</f>
        <v>0.98780300056355</v>
      </c>
      <c r="P236" s="0" t="n">
        <f aca="false">M236-0.00569-0.00478*SIN(RADIANS(125.04-1934.136*G236))</f>
        <v>239.589797106487</v>
      </c>
      <c r="Q236" s="0" t="n">
        <f aca="false">23+(26+((21.448-G236*(46.815+G236*(0.00059-G236*0.001813))))/60)/60</f>
        <v>23.4363145028787</v>
      </c>
      <c r="R236" s="0" t="n">
        <f aca="false">Q236+0.00256*COS(RADIANS(125.04-1934.136*G236))</f>
        <v>23.4382072541223</v>
      </c>
      <c r="S236" s="0" t="n">
        <f aca="false">DEGREES(ATAN2(COS(RADIANS(P236)),COS(RADIANS(R236))*SIN(RADIANS(P236))))</f>
        <v>-122.607837087684</v>
      </c>
      <c r="T236" s="0" t="n">
        <f aca="false">DEGREES(ASIN(SIN(RADIANS(R236))*SIN(RADIANS(P236))))</f>
        <v>-20.0620383187944</v>
      </c>
      <c r="U236" s="0" t="n">
        <f aca="false">TAN(RADIANS(R236/2))*TAN(RADIANS(R236/2))</f>
        <v>0.0430304362388199</v>
      </c>
      <c r="V236" s="0" t="n">
        <f aca="false">4*DEGREES(U236*SIN(2*RADIANS(I236))-2*K236*SIN(RADIANS(J236))+4*K236*U236*SIN(RADIANS(J236))*COS(2*RADIANS(I236))-0.5*U236*U236*SIN(4*RADIANS(I236))-1.25*K236*K236*SIN(2*RADIANS(J236)))</f>
        <v>14.0471246327813</v>
      </c>
      <c r="W236" s="0" t="n">
        <f aca="false">DEGREES(ACOS(COS(RADIANS(90.833))/(COS(RADIANS($B$3))*COS(RADIANS(T236)))-TAN(RADIANS($B$3))*TAN(RADIANS(T236))))</f>
        <v>43.2327392252243</v>
      </c>
      <c r="X236" s="7" t="n">
        <f aca="false">(720-4*$B$4-V236+$B$5*60)/1440</f>
        <v>0.499981163449457</v>
      </c>
      <c r="Y236" s="7" t="n">
        <f aca="false">X236-W236*4/1440</f>
        <v>0.379890221157168</v>
      </c>
      <c r="Z236" s="7" t="n">
        <f aca="false">X236+W236*4/1440</f>
        <v>0.620072105741747</v>
      </c>
      <c r="AA236" s="10" t="n">
        <f aca="false">8*W236</f>
        <v>345.861913801795</v>
      </c>
      <c r="AB236" s="0" t="n">
        <f aca="false">MOD(E236*1440+V236+4*$B$4-60*$B$5,1440)</f>
        <v>1410.02712463278</v>
      </c>
      <c r="AC236" s="0" t="n">
        <f aca="false">IF(AB236/4&lt;0,AB236/4+180,AB236/4-180)</f>
        <v>172.506781158195</v>
      </c>
      <c r="AD236" s="0" t="n">
        <f aca="false">DEGREES(ACOS(SIN(RADIANS($B$3))*SIN(RADIANS(T236))+COS(RADIANS($B$3))*COS(RADIANS(T236))*COS(RADIANS(AC236))))</f>
        <v>135.313619112865</v>
      </c>
      <c r="AE236" s="0" t="n">
        <f aca="false">90-AD236</f>
        <v>-45.3136191128653</v>
      </c>
      <c r="AF236" s="0" t="n">
        <f aca="false">IF(AE236&gt;85,0,IF(AE236&gt;5,58.1/TAN(RADIANS(AE236))-0.07/POWER(TAN(RADIANS(AE236)),3)+0.000086/POWER(TAN(RADIANS(AE236)),5),IF(AE236&gt;-0.575,1735+AE236*(-518.2+AE236*(103.4+AE236*(-12.79+AE236*0.711))),-20.772/TAN(RADIANS(AE236)))))/3600</f>
        <v>0.00570717690867578</v>
      </c>
      <c r="AG236" s="0" t="n">
        <f aca="false">AE236+AF236</f>
        <v>-45.3079119359566</v>
      </c>
      <c r="AH236" s="0" t="n">
        <f aca="false">IF(AC236&gt;0,MOD(DEGREES(ACOS(((SIN(RADIANS($B$3))*COS(RADIANS(AD236)))-SIN(RADIANS(T236)))/(COS(RADIANS($B$3))*SIN(RADIANS(AD236)))))+180,360),MOD(540-DEGREES(ACOS(((SIN(RADIANS($B$3))*COS(RADIANS(AD236)))-SIN(RADIANS(T236)))/(COS(RADIANS($B$3))*SIN(RADIANS(AD236))))),360))</f>
        <v>349.968394447462</v>
      </c>
    </row>
    <row r="237" customFormat="false" ht="15" hidden="false" customHeight="false" outlineLevel="0" collapsed="false">
      <c r="D237" s="6" t="n">
        <f aca="false">$B$7</f>
        <v>44886</v>
      </c>
      <c r="E237" s="7" t="n">
        <f aca="false">E236+0.1/24</f>
        <v>0.983333333333331</v>
      </c>
      <c r="F237" s="8" t="n">
        <f aca="false">D237+2415018.5+E237-$B$5/24</f>
        <v>2459905.44166667</v>
      </c>
      <c r="G237" s="9" t="n">
        <f aca="false">(F237-2451545)/36525</f>
        <v>0.228896417978559</v>
      </c>
      <c r="I237" s="0" t="n">
        <f aca="false">MOD(280.46646+G237*(36000.76983+G237*0.0003032),360)</f>
        <v>240.913734443322</v>
      </c>
      <c r="J237" s="0" t="n">
        <f aca="false">357.52911+G237*(35999.05029-0.0001537*G237)</f>
        <v>8597.58276395813</v>
      </c>
      <c r="K237" s="0" t="n">
        <f aca="false">0.016708634-G237*(0.000042037+0.0000001267*G237)</f>
        <v>0.0166990052430121</v>
      </c>
      <c r="L237" s="0" t="n">
        <f aca="false">SIN(RADIANS(J237))*(1.914602-G237*(0.004817+0.000014*G237))+SIN(RADIANS(2*J237))*(0.019993-0.000101*G237)+SIN(RADIANS(3*J237))*0.000289</f>
        <v>-1.31082055988317</v>
      </c>
      <c r="M237" s="0" t="n">
        <f aca="false">I237+L237</f>
        <v>239.602913883439</v>
      </c>
      <c r="N237" s="0" t="n">
        <f aca="false">J237+L237</f>
        <v>8596.27194339825</v>
      </c>
      <c r="O237" s="0" t="n">
        <f aca="false">(1.000001018*(1-K237*K237))/(1+K237*COS(RADIANS(N237)))</f>
        <v>0.987802173078541</v>
      </c>
      <c r="P237" s="0" t="n">
        <f aca="false">M237-0.00569-0.00478*SIN(RADIANS(125.04-1934.136*G237))</f>
        <v>239.594005452473</v>
      </c>
      <c r="Q237" s="0" t="n">
        <f aca="false">23+(26+((21.448-G237*(46.815+G237*(0.00059-G237*0.001813))))/60)/60</f>
        <v>23.4363145013953</v>
      </c>
      <c r="R237" s="0" t="n">
        <f aca="false">Q237+0.00256*COS(RADIANS(125.04-1934.136*G237))</f>
        <v>23.4382072592766</v>
      </c>
      <c r="S237" s="0" t="n">
        <f aca="false">DEGREES(ATAN2(COS(RADIANS(P237)),COS(RADIANS(R237))*SIN(RADIANS(P237))))</f>
        <v>-122.603460997836</v>
      </c>
      <c r="T237" s="0" t="n">
        <f aca="false">DEGREES(ASIN(SIN(RADIANS(R237))*SIN(RADIANS(P237))))</f>
        <v>-20.0629403164354</v>
      </c>
      <c r="U237" s="0" t="n">
        <f aca="false">TAN(RADIANS(R237/2))*TAN(RADIANS(R237/2))</f>
        <v>0.0430304362582837</v>
      </c>
      <c r="V237" s="0" t="n">
        <f aca="false">4*DEGREES(U237*SIN(2*RADIANS(I237))-2*K237*SIN(RADIANS(J237))+4*K237*U237*SIN(RADIANS(J237))*COS(2*RADIANS(I237))-0.5*U237*U237*SIN(4*RADIANS(I237))-1.25*K237*K237*SIN(2*RADIANS(J237)))</f>
        <v>14.0460358703903</v>
      </c>
      <c r="W237" s="0" t="n">
        <f aca="false">DEGREES(ACOS(COS(RADIANS(90.833))/(COS(RADIANS($B$3))*COS(RADIANS(T237)))-TAN(RADIANS($B$3))*TAN(RADIANS(T237))))</f>
        <v>43.2296321040809</v>
      </c>
      <c r="X237" s="7" t="n">
        <f aca="false">(720-4*$B$4-V237+$B$5*60)/1440</f>
        <v>0.499981919534451</v>
      </c>
      <c r="Y237" s="7" t="n">
        <f aca="false">X237-W237*4/1440</f>
        <v>0.379899608134227</v>
      </c>
      <c r="Z237" s="7" t="n">
        <f aca="false">X237+W237*4/1440</f>
        <v>0.620064230934676</v>
      </c>
      <c r="AA237" s="10" t="n">
        <f aca="false">8*W237</f>
        <v>345.837056832647</v>
      </c>
      <c r="AB237" s="0" t="n">
        <f aca="false">MOD(E237*1440+V237+4*$B$4-60*$B$5,1440)</f>
        <v>1416.02603587039</v>
      </c>
      <c r="AC237" s="0" t="n">
        <f aca="false">IF(AB237/4&lt;0,AB237/4+180,AB237/4-180)</f>
        <v>174.006508967597</v>
      </c>
      <c r="AD237" s="0" t="n">
        <f aca="false">DEGREES(ACOS(SIN(RADIANS($B$3))*SIN(RADIANS(T237))+COS(RADIANS($B$3))*COS(RADIANS(T237))*COS(RADIANS(AC237))))</f>
        <v>135.415999954767</v>
      </c>
      <c r="AE237" s="0" t="n">
        <f aca="false">90-AD237</f>
        <v>-45.4159999547672</v>
      </c>
      <c r="AF237" s="0" t="n">
        <f aca="false">IF(AE237&gt;85,0,IF(AE237&gt;5,58.1/TAN(RADIANS(AE237))-0.07/POWER(TAN(RADIANS(AE237)),3)+0.000086/POWER(TAN(RADIANS(AE237)),5),IF(AE237&gt;-0.575,1735+AE237*(-518.2+AE237*(103.4+AE237*(-12.79+AE237*0.711))),-20.772/TAN(RADIANS(AE237)))))/3600</f>
        <v>0.0056868155396942</v>
      </c>
      <c r="AG237" s="0" t="n">
        <f aca="false">AE237+AF237</f>
        <v>-45.4103131392275</v>
      </c>
      <c r="AH237" s="0" t="n">
        <f aca="false">IF(AC237&gt;0,MOD(DEGREES(ACOS(((SIN(RADIANS($B$3))*COS(RADIANS(AD237)))-SIN(RADIANS(T237)))/(COS(RADIANS($B$3))*SIN(RADIANS(AD237)))))+180,360),MOD(540-DEGREES(ACOS(((SIN(RADIANS($B$3))*COS(RADIANS(AD237)))-SIN(RADIANS(T237)))/(COS(RADIANS($B$3))*SIN(RADIANS(AD237))))),360))</f>
        <v>351.96818033843</v>
      </c>
    </row>
    <row r="238" customFormat="false" ht="15" hidden="false" customHeight="false" outlineLevel="0" collapsed="false">
      <c r="D238" s="6" t="n">
        <f aca="false">$B$7</f>
        <v>44886</v>
      </c>
      <c r="E238" s="7" t="n">
        <f aca="false">E237+0.1/24</f>
        <v>0.987499999999998</v>
      </c>
      <c r="F238" s="8" t="n">
        <f aca="false">D238+2415018.5+E238-$B$5/24</f>
        <v>2459905.44583333</v>
      </c>
      <c r="G238" s="9" t="n">
        <f aca="false">(F238-2451545)/36525</f>
        <v>0.228896532055669</v>
      </c>
      <c r="I238" s="0" t="n">
        <f aca="false">MOD(280.46646+G238*(36000.76983+G238*0.0003032),360)</f>
        <v>240.917841307095</v>
      </c>
      <c r="J238" s="0" t="n">
        <f aca="false">357.52911+G238*(35999.05029-0.0001537*G238)</f>
        <v>8597.58687062572</v>
      </c>
      <c r="K238" s="0" t="n">
        <f aca="false">0.016708634-G238*(0.000042037+0.0000001267*G238)</f>
        <v>0.01669900523821</v>
      </c>
      <c r="L238" s="0" t="n">
        <f aca="false">SIN(RADIANS(J238))*(1.914602-G238*(0.004817+0.000014*G238))+SIN(RADIANS(2*J238))*(0.019993-0.000101*G238)+SIN(RADIANS(3*J238))*0.000289</f>
        <v>-1.31071908469982</v>
      </c>
      <c r="M238" s="0" t="n">
        <f aca="false">I238+L238</f>
        <v>239.607122222395</v>
      </c>
      <c r="N238" s="0" t="n">
        <f aca="false">J238+L238</f>
        <v>8596.27615154102</v>
      </c>
      <c r="O238" s="0" t="n">
        <f aca="false">(1.000001018*(1-K238*K238))/(1+K238*COS(RADIANS(N238)))</f>
        <v>0.987801345657157</v>
      </c>
      <c r="P238" s="0" t="n">
        <f aca="false">M238-0.00569-0.00478*SIN(RADIANS(125.04-1934.136*G238))</f>
        <v>239.598213805039</v>
      </c>
      <c r="Q238" s="0" t="n">
        <f aca="false">23+(26+((21.448-G238*(46.815+G238*(0.00059-G238*0.001813))))/60)/60</f>
        <v>23.4363144999118</v>
      </c>
      <c r="R238" s="0" t="n">
        <f aca="false">Q238+0.00256*COS(RADIANS(125.04-1934.136*G238))</f>
        <v>23.4382072644308</v>
      </c>
      <c r="S238" s="0" t="n">
        <f aca="false">DEGREES(ATAN2(COS(RADIANS(P238)),COS(RADIANS(R238))*SIN(RADIANS(P238))))</f>
        <v>-122.599084850828</v>
      </c>
      <c r="T238" s="0" t="n">
        <f aca="false">DEGREES(ASIN(SIN(RADIANS(R238))*SIN(RADIANS(P238))))</f>
        <v>-20.0638422077842</v>
      </c>
      <c r="U238" s="0" t="n">
        <f aca="false">TAN(RADIANS(R238/2))*TAN(RADIANS(R238/2))</f>
        <v>0.0430304362777474</v>
      </c>
      <c r="V238" s="0" t="n">
        <f aca="false">4*DEGREES(U238*SIN(2*RADIANS(I238))-2*K238*SIN(RADIANS(J238))+4*K238*U238*SIN(RADIANS(J238))*COS(2*RADIANS(I238))-0.5*U238*U238*SIN(4*RADIANS(I238))-1.25*K238*K238*SIN(2*RADIANS(J238)))</f>
        <v>14.0449468776227</v>
      </c>
      <c r="W238" s="0" t="n">
        <f aca="false">DEGREES(ACOS(COS(RADIANS(90.833))/(COS(RADIANS($B$3))*COS(RADIANS(T238)))-TAN(RADIANS($B$3))*TAN(RADIANS(T238))))</f>
        <v>43.2265251348776</v>
      </c>
      <c r="X238" s="7" t="n">
        <f aca="false">(720-4*$B$4-V238+$B$5*60)/1440</f>
        <v>0.499982675779429</v>
      </c>
      <c r="Y238" s="7" t="n">
        <f aca="false">X238-W238*4/1440</f>
        <v>0.379908994849213</v>
      </c>
      <c r="Z238" s="7" t="n">
        <f aca="false">X238+W238*4/1440</f>
        <v>0.620056356709644</v>
      </c>
      <c r="AA238" s="10" t="n">
        <f aca="false">8*W238</f>
        <v>345.812201079021</v>
      </c>
      <c r="AB238" s="0" t="n">
        <f aca="false">MOD(E238*1440+V238+4*$B$4-60*$B$5,1440)</f>
        <v>1422.02494687762</v>
      </c>
      <c r="AC238" s="0" t="n">
        <f aca="false">IF(AB238/4&lt;0,AB238/4+180,AB238/4-180)</f>
        <v>175.506236719405</v>
      </c>
      <c r="AD238" s="0" t="n">
        <f aca="false">DEGREES(ACOS(SIN(RADIANS($B$3))*SIN(RADIANS(T238))+COS(RADIANS($B$3))*COS(RADIANS(T238))*COS(RADIANS(AC238))))</f>
        <v>135.496011383038</v>
      </c>
      <c r="AE238" s="0" t="n">
        <f aca="false">90-AD238</f>
        <v>-45.4960113830377</v>
      </c>
      <c r="AF238" s="0" t="n">
        <f aca="false">IF(AE238&gt;85,0,IF(AE238&gt;5,58.1/TAN(RADIANS(AE238))-0.07/POWER(TAN(RADIANS(AE238)),3)+0.000086/POWER(TAN(RADIANS(AE238)),5),IF(AE238&gt;-0.575,1735+AE238*(-518.2+AE238*(103.4+AE238*(-12.79+AE238*0.711))),-20.772/TAN(RADIANS(AE238)))))/3600</f>
        <v>0.00567095283358998</v>
      </c>
      <c r="AG238" s="0" t="n">
        <f aca="false">AE238+AF238</f>
        <v>-45.4903404302041</v>
      </c>
      <c r="AH238" s="0" t="n">
        <f aca="false">IF(AC238&gt;0,MOD(DEGREES(ACOS(((SIN(RADIANS($B$3))*COS(RADIANS(AD238)))-SIN(RADIANS(T238)))/(COS(RADIANS($B$3))*SIN(RADIANS(AD238)))))+180,360),MOD(540-DEGREES(ACOS(((SIN(RADIANS($B$3))*COS(RADIANS(AD238)))-SIN(RADIANS(T238)))/(COS(RADIANS($B$3))*SIN(RADIANS(AD238))))),360))</f>
        <v>353.97325506311</v>
      </c>
    </row>
    <row r="239" customFormat="false" ht="15" hidden="false" customHeight="false" outlineLevel="0" collapsed="false">
      <c r="D239" s="6" t="n">
        <f aca="false">$B$7</f>
        <v>44886</v>
      </c>
      <c r="E239" s="7" t="n">
        <f aca="false">E238+0.1/24</f>
        <v>0.991666666666664</v>
      </c>
      <c r="F239" s="8" t="n">
        <f aca="false">D239+2415018.5+E239-$B$5/24</f>
        <v>2459905.45</v>
      </c>
      <c r="G239" s="9" t="n">
        <f aca="false">(F239-2451545)/36525</f>
        <v>0.228896646132791</v>
      </c>
      <c r="I239" s="0" t="n">
        <f aca="false">MOD(280.46646+G239*(36000.76983+G239*0.0003032),360)</f>
        <v>240.921948171324</v>
      </c>
      <c r="J239" s="0" t="n">
        <f aca="false">357.52911+G239*(35999.05029-0.0001537*G239)</f>
        <v>8597.59097729376</v>
      </c>
      <c r="K239" s="0" t="n">
        <f aca="false">0.016708634-G239*(0.000042037+0.0000001267*G239)</f>
        <v>0.0166990052334079</v>
      </c>
      <c r="L239" s="0" t="n">
        <f aca="false">SIN(RADIANS(J239))*(1.914602-G239*(0.004817+0.000014*G239))+SIN(RADIANS(2*J239))*(0.019993-0.000101*G239)+SIN(RADIANS(3*J239))*0.000289</f>
        <v>-1.3106176024557</v>
      </c>
      <c r="M239" s="0" t="n">
        <f aca="false">I239+L239</f>
        <v>239.611330568869</v>
      </c>
      <c r="N239" s="0" t="n">
        <f aca="false">J239+L239</f>
        <v>8596.28035969131</v>
      </c>
      <c r="O239" s="0" t="n">
        <f aca="false">(1.000001018*(1-K239*K239))/(1+K239*COS(RADIANS(N239)))</f>
        <v>0.98780051829922</v>
      </c>
      <c r="P239" s="0" t="n">
        <f aca="false">M239-0.00569-0.00478*SIN(RADIANS(125.04-1934.136*G239))</f>
        <v>239.602422165122</v>
      </c>
      <c r="Q239" s="0" t="n">
        <f aca="false">23+(26+((21.448-G239*(46.815+G239*(0.00059-G239*0.001813))))/60)/60</f>
        <v>23.4363144984283</v>
      </c>
      <c r="R239" s="0" t="n">
        <f aca="false">Q239+0.00256*COS(RADIANS(125.04-1934.136*G239))</f>
        <v>23.438207269585</v>
      </c>
      <c r="S239" s="0" t="n">
        <f aca="false">DEGREES(ATAN2(COS(RADIANS(P239)),COS(RADIANS(R239))*SIN(RADIANS(P239))))</f>
        <v>-122.594708645688</v>
      </c>
      <c r="T239" s="0" t="n">
        <f aca="false">DEGREES(ASIN(SIN(RADIANS(R239))*SIN(RADIANS(P239))))</f>
        <v>-20.0647439930345</v>
      </c>
      <c r="U239" s="0" t="n">
        <f aca="false">TAN(RADIANS(R239/2))*TAN(RADIANS(R239/2))</f>
        <v>0.0430304362972111</v>
      </c>
      <c r="V239" s="0" t="n">
        <f aca="false">4*DEGREES(U239*SIN(2*RADIANS(I239))-2*K239*SIN(RADIANS(J239))+4*K239*U239*SIN(RADIANS(J239))*COS(2*RADIANS(I239))-0.5*U239*U239*SIN(4*RADIANS(I239))-1.25*K239*K239*SIN(2*RADIANS(J239)))</f>
        <v>14.0438576542501</v>
      </c>
      <c r="W239" s="0" t="n">
        <f aca="false">DEGREES(ACOS(COS(RADIANS(90.833))/(COS(RADIANS($B$3))*COS(RADIANS(T239)))-TAN(RADIANS($B$3))*TAN(RADIANS(T239))))</f>
        <v>43.2234183169743</v>
      </c>
      <c r="X239" s="7" t="n">
        <f aca="false">(720-4*$B$4-V239+$B$5*60)/1440</f>
        <v>0.499983432184549</v>
      </c>
      <c r="Y239" s="7" t="n">
        <f aca="false">X239-W239*4/1440</f>
        <v>0.379918381304064</v>
      </c>
      <c r="Z239" s="7" t="n">
        <f aca="false">X239+W239*4/1440</f>
        <v>0.620048483065033</v>
      </c>
      <c r="AA239" s="10" t="n">
        <f aca="false">8*W239</f>
        <v>345.787346535794</v>
      </c>
      <c r="AB239" s="0" t="n">
        <f aca="false">MOD(E239*1440+V239+4*$B$4-60*$B$5,1440)</f>
        <v>1428.02385765425</v>
      </c>
      <c r="AC239" s="0" t="n">
        <f aca="false">IF(AB239/4&lt;0,AB239/4+180,AB239/4-180)</f>
        <v>177.005964413562</v>
      </c>
      <c r="AD239" s="0" t="n">
        <f aca="false">DEGREES(ACOS(SIN(RADIANS($B$3))*SIN(RADIANS(T239))+COS(RADIANS($B$3))*COS(RADIANS(T239))*COS(RADIANS(AC239))))</f>
        <v>135.553504288948</v>
      </c>
      <c r="AE239" s="0" t="n">
        <f aca="false">90-AD239</f>
        <v>-45.5535042889478</v>
      </c>
      <c r="AF239" s="0" t="n">
        <f aca="false">IF(AE239&gt;85,0,IF(AE239&gt;5,58.1/TAN(RADIANS(AE239))-0.07/POWER(TAN(RADIANS(AE239)),3)+0.000086/POWER(TAN(RADIANS(AE239)),5),IF(AE239&gt;-0.575,1735+AE239*(-518.2+AE239*(103.4+AE239*(-12.79+AE239*0.711))),-20.772/TAN(RADIANS(AE239)))))/3600</f>
        <v>0.00565958141081872</v>
      </c>
      <c r="AG239" s="0" t="n">
        <f aca="false">AE239+AF239</f>
        <v>-45.547844707537</v>
      </c>
      <c r="AH239" s="0" t="n">
        <f aca="false">IF(AC239&gt;0,MOD(DEGREES(ACOS(((SIN(RADIANS($B$3))*COS(RADIANS(AD239)))-SIN(RADIANS(T239)))/(COS(RADIANS($B$3))*SIN(RADIANS(AD239)))))+180,360),MOD(540-DEGREES(ACOS(((SIN(RADIANS($B$3))*COS(RADIANS(AD239)))-SIN(RADIANS(T239)))/(COS(RADIANS($B$3))*SIN(RADIANS(AD239))))),360))</f>
        <v>355.982337820784</v>
      </c>
    </row>
    <row r="240" customFormat="false" ht="15" hidden="false" customHeight="false" outlineLevel="0" collapsed="false">
      <c r="D240" s="6" t="n">
        <f aca="false">$B$7</f>
        <v>44886</v>
      </c>
      <c r="E240" s="7" t="n">
        <f aca="false">E239+0.1/24</f>
        <v>0.995833333333331</v>
      </c>
      <c r="F240" s="8" t="n">
        <f aca="false">D240+2415018.5+E240-$B$5/24</f>
        <v>2459905.45416667</v>
      </c>
      <c r="G240" s="9" t="n">
        <f aca="false">(F240-2451545)/36525</f>
        <v>0.2288967602099</v>
      </c>
      <c r="I240" s="0" t="n">
        <f aca="false">MOD(280.46646+G240*(36000.76983+G240*0.0003032),360)</f>
        <v>240.926055035096</v>
      </c>
      <c r="J240" s="0" t="n">
        <f aca="false">357.52911+G240*(35999.05029-0.0001537*G240)</f>
        <v>8597.59508396135</v>
      </c>
      <c r="K240" s="0" t="n">
        <f aca="false">0.016708634-G240*(0.000042037+0.0000001267*G240)</f>
        <v>0.0166990052286059</v>
      </c>
      <c r="L240" s="0" t="n">
        <f aca="false">SIN(RADIANS(J240))*(1.914602-G240*(0.004817+0.000014*G240))+SIN(RADIANS(2*J240))*(0.019993-0.000101*G240)+SIN(RADIANS(3*J240))*0.000289</f>
        <v>-1.31051611317393</v>
      </c>
      <c r="M240" s="0" t="n">
        <f aca="false">I240+L240</f>
        <v>239.615538921922</v>
      </c>
      <c r="N240" s="0" t="n">
        <f aca="false">J240+L240</f>
        <v>8596.28456784818</v>
      </c>
      <c r="O240" s="0" t="n">
        <f aca="false">(1.000001018*(1-K240*K240))/(1+K240*COS(RADIANS(N240)))</f>
        <v>0.987799691004918</v>
      </c>
      <c r="P240" s="0" t="n">
        <f aca="false">M240-0.00569-0.00478*SIN(RADIANS(125.04-1934.136*G240))</f>
        <v>239.606630531784</v>
      </c>
      <c r="Q240" s="0" t="n">
        <f aca="false">23+(26+((21.448-G240*(46.815+G240*(0.00059-G240*0.001813))))/60)/60</f>
        <v>23.4363144969448</v>
      </c>
      <c r="R240" s="0" t="n">
        <f aca="false">Q240+0.00256*COS(RADIANS(125.04-1934.136*G240))</f>
        <v>23.4382072747392</v>
      </c>
      <c r="S240" s="0" t="n">
        <f aca="false">DEGREES(ATAN2(COS(RADIANS(P240)),COS(RADIANS(R240))*SIN(RADIANS(P240))))</f>
        <v>-122.590332383393</v>
      </c>
      <c r="T240" s="0" t="n">
        <f aca="false">DEGREES(ASIN(SIN(RADIANS(R240))*SIN(RADIANS(P240))))</f>
        <v>-20.0656456719782</v>
      </c>
      <c r="U240" s="0" t="n">
        <f aca="false">TAN(RADIANS(R240/2))*TAN(RADIANS(R240/2))</f>
        <v>0.0430304363166746</v>
      </c>
      <c r="V240" s="0" t="n">
        <f aca="false">4*DEGREES(U240*SIN(2*RADIANS(I240))-2*K240*SIN(RADIANS(J240))+4*K240*U240*SIN(RADIANS(J240))*COS(2*RADIANS(I240))-0.5*U240*U240*SIN(4*RADIANS(I240))-1.25*K240*K240*SIN(2*RADIANS(J240)))</f>
        <v>14.0427682005294</v>
      </c>
      <c r="W240" s="0" t="n">
        <f aca="false">DEGREES(ACOS(COS(RADIANS(90.833))/(COS(RADIANS($B$3))*COS(RADIANS(T240)))-TAN(RADIANS($B$3))*TAN(RADIANS(T240))))</f>
        <v>43.220311651115</v>
      </c>
      <c r="X240" s="7" t="n">
        <f aca="false">(720-4*$B$4-V240+$B$5*60)/1440</f>
        <v>0.499984188749632</v>
      </c>
      <c r="Y240" s="7" t="n">
        <f aca="false">X240-W240*4/1440</f>
        <v>0.379927767496535</v>
      </c>
      <c r="Z240" s="7" t="n">
        <f aca="false">X240+W240*4/1440</f>
        <v>0.62004061000273</v>
      </c>
      <c r="AA240" s="10" t="n">
        <f aca="false">8*W240</f>
        <v>345.76249320892</v>
      </c>
      <c r="AB240" s="0" t="n">
        <f aca="false">MOD(E240*1440+V240+4*$B$4-60*$B$5,1440)</f>
        <v>1434.02276820053</v>
      </c>
      <c r="AC240" s="0" t="n">
        <f aca="false">IF(AB240/4&lt;0,AB240/4+180,AB240/4-180)</f>
        <v>178.505692050132</v>
      </c>
      <c r="AD240" s="0" t="n">
        <f aca="false">DEGREES(ACOS(SIN(RADIANS($B$3))*SIN(RADIANS(T240))+COS(RADIANS($B$3))*COS(RADIANS(T240))*COS(RADIANS(AC240))))</f>
        <v>135.588371202497</v>
      </c>
      <c r="AE240" s="0" t="n">
        <f aca="false">90-AD240</f>
        <v>-45.5883712024967</v>
      </c>
      <c r="AF240" s="0" t="n">
        <f aca="false">IF(AE240&gt;85,0,IF(AE240&gt;5,58.1/TAN(RADIANS(AE240))-0.07/POWER(TAN(RADIANS(AE240)),3)+0.000086/POWER(TAN(RADIANS(AE240)),5),IF(AE240&gt;-0.575,1735+AE240*(-518.2+AE240*(103.4+AE240*(-12.79+AE240*0.711))),-20.772/TAN(RADIANS(AE240)))))/3600</f>
        <v>0.0056526960429684</v>
      </c>
      <c r="AG240" s="0" t="n">
        <f aca="false">AE240+AF240</f>
        <v>-45.5827185064538</v>
      </c>
      <c r="AH240" s="0" t="n">
        <f aca="false">IF(AC240&gt;0,MOD(DEGREES(ACOS(((SIN(RADIANS($B$3))*COS(RADIANS(AD240)))-SIN(RADIANS(T240)))/(COS(RADIANS($B$3))*SIN(RADIANS(AD240)))))+180,360),MOD(540-DEGREES(ACOS(((SIN(RADIANS($B$3))*COS(RADIANS(AD240)))-SIN(RADIANS(T240)))/(COS(RADIANS($B$3))*SIN(RADIANS(AD240))))),360))</f>
        <v>357.994120379659</v>
      </c>
    </row>
    <row r="241" customFormat="false" ht="15" hidden="false" customHeight="false" outlineLevel="0" collapsed="false">
      <c r="D241" s="6" t="n">
        <f aca="false">$B$7</f>
        <v>44886</v>
      </c>
      <c r="E241" s="7" t="n">
        <f aca="false">E240+0.1/24</f>
        <v>0.999999999999998</v>
      </c>
      <c r="F241" s="8" t="n">
        <f aca="false">D241+2415018.5+E241-$B$5/24</f>
        <v>2459905.45833333</v>
      </c>
      <c r="G241" s="9" t="n">
        <f aca="false">(F241-2451545)/36525</f>
        <v>0.228896874287022</v>
      </c>
      <c r="I241" s="0" t="n">
        <f aca="false">MOD(280.46646+G241*(36000.76983+G241*0.0003032),360)</f>
        <v>240.930161899327</v>
      </c>
      <c r="J241" s="0" t="n">
        <f aca="false">357.52911+G241*(35999.05029-0.0001537*G241)</f>
        <v>8597.5991906294</v>
      </c>
      <c r="K241" s="0" t="n">
        <f aca="false">0.016708634-G241*(0.000042037+0.0000001267*G241)</f>
        <v>0.0166990052238038</v>
      </c>
      <c r="L241" s="0" t="n">
        <f aca="false">SIN(RADIANS(J241))*(1.914602-G241*(0.004817+0.000014*G241))+SIN(RADIANS(2*J241))*(0.019993-0.000101*G241)+SIN(RADIANS(3*J241))*0.000289</f>
        <v>-1.31041461683251</v>
      </c>
      <c r="M241" s="0" t="n">
        <f aca="false">I241+L241</f>
        <v>239.619747282494</v>
      </c>
      <c r="N241" s="0" t="n">
        <f aca="false">J241+L241</f>
        <v>8596.28877601257</v>
      </c>
      <c r="O241" s="0" t="n">
        <f aca="false">(1.000001018*(1-K241*K241))/(1+K241*COS(RADIANS(N241)))</f>
        <v>0.987798863774072</v>
      </c>
      <c r="P241" s="0" t="n">
        <f aca="false">M241-0.00569-0.00478*SIN(RADIANS(125.04-1934.136*G241))</f>
        <v>239.610838905967</v>
      </c>
      <c r="Q241" s="0" t="n">
        <f aca="false">23+(26+((21.448-G241*(46.815+G241*(0.00059-G241*0.001813))))/60)/60</f>
        <v>23.4363144954613</v>
      </c>
      <c r="R241" s="0" t="n">
        <f aca="false">Q241+0.00256*COS(RADIANS(125.04-1934.136*G241))</f>
        <v>23.4382072798933</v>
      </c>
      <c r="S241" s="0" t="n">
        <f aca="false">DEGREES(ATAN2(COS(RADIANS(P241)),COS(RADIANS(R241))*SIN(RADIANS(P241))))</f>
        <v>-122.585956062969</v>
      </c>
      <c r="T241" s="0" t="n">
        <f aca="false">DEGREES(ASIN(SIN(RADIANS(R241))*SIN(RADIANS(P241))))</f>
        <v>-20.0665472448098</v>
      </c>
      <c r="U241" s="0" t="n">
        <f aca="false">TAN(RADIANS(R241/2))*TAN(RADIANS(R241/2))</f>
        <v>0.043030436336138</v>
      </c>
      <c r="V241" s="0" t="n">
        <f aca="false">4*DEGREES(U241*SIN(2*RADIANS(I241))-2*K241*SIN(RADIANS(J241))+4*K241*U241*SIN(RADIANS(J241))*COS(2*RADIANS(I241))-0.5*U241*U241*SIN(4*RADIANS(I241))-1.25*K241*K241*SIN(2*RADIANS(J241)))</f>
        <v>14.0416785162324</v>
      </c>
      <c r="W241" s="0" t="n">
        <f aca="false">DEGREES(ACOS(COS(RADIANS(90.833))/(COS(RADIANS($B$3))*COS(RADIANS(T241)))-TAN(RADIANS($B$3))*TAN(RADIANS(T241))))</f>
        <v>43.2172051366571</v>
      </c>
      <c r="X241" s="7" t="n">
        <f aca="false">(720-4*$B$4-V241+$B$5*60)/1440</f>
        <v>0.499984945474839</v>
      </c>
      <c r="Y241" s="7" t="n">
        <f aca="false">X241-W241*4/1440</f>
        <v>0.379937153428569</v>
      </c>
      <c r="Z241" s="7" t="n">
        <f aca="false">X241+W241*4/1440</f>
        <v>0.620032737521108</v>
      </c>
      <c r="AA241" s="10" t="n">
        <f aca="false">8*W241</f>
        <v>345.737641093256</v>
      </c>
      <c r="AB241" s="0" t="n">
        <f aca="false">MOD(E241*1440+V241+4*$B$4-60*$B$5,1440)</f>
        <v>0.0216785162290307</v>
      </c>
      <c r="AC241" s="0" t="n">
        <f aca="false">IF(AB241/4&lt;0,AB241/4+180,AB241/4-180)</f>
        <v>-179.994580370943</v>
      </c>
      <c r="AD241" s="0" t="n">
        <f aca="false">DEGREES(ACOS(SIN(RADIANS($B$3))*SIN(RADIANS(T241))+COS(RADIANS($B$3))*COS(RADIANS(T241))*COS(RADIANS(AC241))))</f>
        <v>135.60054709648</v>
      </c>
      <c r="AE241" s="0" t="n">
        <f aca="false">90-AD241</f>
        <v>-45.6005470964803</v>
      </c>
      <c r="AF241" s="0" t="n">
        <f aca="false">IF(AE241&gt;85,0,IF(AE241&gt;5,58.1/TAN(RADIANS(AE241))-0.07/POWER(TAN(RADIANS(AE241)),3)+0.000086/POWER(TAN(RADIANS(AE241)),5),IF(AE241&gt;-0.575,1735+AE241*(-518.2+AE241*(103.4+AE241*(-12.79+AE241*0.711))),-20.772/TAN(RADIANS(AE241)))))/3600</f>
        <v>0.00565029353378466</v>
      </c>
      <c r="AG241" s="0" t="n">
        <f aca="false">AE241+AF241</f>
        <v>-45.5948968029465</v>
      </c>
      <c r="AH241" s="0" t="n">
        <f aca="false">IF(AC241&gt;0,MOD(DEGREES(ACOS(((SIN(RADIANS($B$3))*COS(RADIANS(AD241)))-SIN(RADIANS(T241)))/(COS(RADIANS($B$3))*SIN(RADIANS(AD241)))))+180,360),MOD(540-DEGREES(ACOS(((SIN(RADIANS($B$3))*COS(RADIANS(AD241)))-SIN(RADIANS(T241)))/(COS(RADIANS($B$3))*SIN(RADIANS(AD241))))),360))</f>
        <v>0.00727589778955462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1" sqref="13:13 C5"/>
    </sheetView>
  </sheetViews>
  <sheetFormatPr defaultColWidth="10.16015625" defaultRowHeight="12.8" zeroHeight="false" outlineLevelRow="0" outlineLevelCol="0"/>
  <cols>
    <col collapsed="false" customWidth="true" hidden="false" outlineLevel="0" max="3" min="3" style="0" width="21.72"/>
    <col collapsed="false" customWidth="true" hidden="false" outlineLevel="0" max="4" min="4" style="0" width="17.39"/>
  </cols>
  <sheetData>
    <row r="5" customFormat="false" ht="12.8" hidden="false" customHeight="false" outlineLevel="0" collapsed="false">
      <c r="C5" s="0" t="s">
        <v>34</v>
      </c>
      <c r="D5" s="0" t="n">
        <v>2459904.50833333</v>
      </c>
    </row>
    <row r="6" customFormat="false" ht="12.8" hidden="false" customHeight="false" outlineLevel="0" collapsed="false">
      <c r="C6" s="0" t="s">
        <v>35</v>
      </c>
      <c r="D6" s="0" t="n">
        <v>0.2288708647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LibreOffice/7.4.1.2$Linux_X86_64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2022-11-22T07:40:38Z</dcterms:created>
  <dc:creator/>
  <dc:description/>
  <dc:language>en-GB</dc:language>
  <cp:lastModifiedBy/>
  <dcterms:modified xsi:type="dcterms:W3CDTF">2022-11-22T20:29:28Z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